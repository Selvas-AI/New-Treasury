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s\2015년 파일 서버\경영지원 본부\재무팀\정연수\그룹사 자금 Treasury 전략\"/>
    </mc:Choice>
  </mc:AlternateContent>
  <xr:revisionPtr revIDLastSave="0" documentId="13_ncr:1_{7151C9AE-843E-4B4F-9983-DFDEA6D13111}" xr6:coauthVersionLast="47" xr6:coauthVersionMax="47" xr10:uidLastSave="{00000000-0000-0000-0000-000000000000}"/>
  <bookViews>
    <workbookView xWindow="-120" yWindow="-120" windowWidth="38640" windowHeight="15720" xr2:uid="{60022792-8923-4E18-9257-8212A11F5E00}"/>
  </bookViews>
  <sheets>
    <sheet name="외화보유비중 산출" sheetId="1" r:id="rId1"/>
    <sheet name="데이터" sheetId="2" r:id="rId2"/>
    <sheet name="매매기준율표(통화명_환율(원)_전일대비)" sheetId="4" r:id="rId3"/>
    <sheet name="재정된 매매기준율" sheetId="5" r:id="rId4"/>
    <sheet name="2025년 이자수익" sheetId="6" r:id="rId5"/>
    <sheet name="Sheet1" sheetId="7" r:id="rId6"/>
  </sheets>
  <definedNames>
    <definedName name="_xlnm._FilterDatabase" localSheetId="4" hidden="1">'2025년 이자수익'!$A$2:$K$2</definedName>
    <definedName name="ExternalData_1" localSheetId="2" hidden="1">'매매기준율표(통화명_환율(원)_전일대비)'!$A$1:$C$4</definedName>
    <definedName name="ExternalData_2" localSheetId="3" hidden="1">'재정된 매매기준율'!$A$1:$E$56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8" i="1"/>
  <c r="H5" i="1"/>
  <c r="H7" i="1"/>
  <c r="H6" i="1"/>
  <c r="G7" i="7"/>
  <c r="G8" i="7"/>
  <c r="G6" i="7"/>
  <c r="G5" i="7"/>
  <c r="G4" i="7"/>
  <c r="G3" i="7"/>
  <c r="B9" i="7"/>
  <c r="G2" i="7"/>
  <c r="G9" i="7" s="1"/>
  <c r="B174" i="6"/>
  <c r="D9" i="7"/>
  <c r="B184" i="6"/>
  <c r="H15" i="1"/>
  <c r="H14" i="1"/>
  <c r="H13" i="1"/>
  <c r="H19" i="1" s="1"/>
  <c r="J19" i="1" s="1"/>
  <c r="C16" i="1"/>
  <c r="E16" i="1" s="1"/>
  <c r="C15" i="1"/>
  <c r="E15" i="1" s="1"/>
  <c r="C14" i="1"/>
  <c r="E14" i="1" s="1"/>
  <c r="C13" i="1"/>
  <c r="E13" i="1" s="1"/>
  <c r="E5" i="2"/>
  <c r="E4" i="2"/>
  <c r="E3" i="2"/>
  <c r="E2" i="2"/>
  <c r="F5" i="2"/>
  <c r="F4" i="2"/>
  <c r="F3" i="2"/>
  <c r="F2" i="2"/>
  <c r="IR5" i="2"/>
  <c r="IQ5" i="2"/>
  <c r="IP5" i="2"/>
  <c r="IO5" i="2"/>
  <c r="IN5" i="2"/>
  <c r="IM5" i="2"/>
  <c r="IL5" i="2"/>
  <c r="IK5" i="2"/>
  <c r="IJ5" i="2"/>
  <c r="II5" i="2"/>
  <c r="IH5" i="2"/>
  <c r="IG5" i="2"/>
  <c r="IF5" i="2"/>
  <c r="IE5" i="2"/>
  <c r="ID5" i="2"/>
  <c r="IC5" i="2"/>
  <c r="IB5" i="2"/>
  <c r="IA5" i="2"/>
  <c r="HZ5" i="2"/>
  <c r="HY5" i="2"/>
  <c r="HX5" i="2"/>
  <c r="HW5" i="2"/>
  <c r="HV5" i="2"/>
  <c r="HU5" i="2"/>
  <c r="HT5" i="2"/>
  <c r="HS5" i="2"/>
  <c r="HR5" i="2"/>
  <c r="HQ5" i="2"/>
  <c r="HP5" i="2"/>
  <c r="HO5" i="2"/>
  <c r="HN5" i="2"/>
  <c r="HM5" i="2"/>
  <c r="HL5" i="2"/>
  <c r="HK5" i="2"/>
  <c r="HJ5" i="2"/>
  <c r="HI5" i="2"/>
  <c r="HH5" i="2"/>
  <c r="HG5" i="2"/>
  <c r="HF5" i="2"/>
  <c r="HE5" i="2"/>
  <c r="HD5" i="2"/>
  <c r="HC5" i="2"/>
  <c r="HB5" i="2"/>
  <c r="HA5" i="2"/>
  <c r="GZ5" i="2"/>
  <c r="GY5" i="2"/>
  <c r="GX5" i="2"/>
  <c r="GW5" i="2"/>
  <c r="GV5" i="2"/>
  <c r="GU5" i="2"/>
  <c r="GT5" i="2"/>
  <c r="GS5" i="2"/>
  <c r="GR5" i="2"/>
  <c r="GQ5" i="2"/>
  <c r="GP5" i="2"/>
  <c r="GO5" i="2"/>
  <c r="GN5" i="2"/>
  <c r="GM5" i="2"/>
  <c r="GL5" i="2"/>
  <c r="GK5" i="2"/>
  <c r="GJ5" i="2"/>
  <c r="GI5" i="2"/>
  <c r="GH5" i="2"/>
  <c r="GG5" i="2"/>
  <c r="GF5" i="2"/>
  <c r="GE5" i="2"/>
  <c r="GD5" i="2"/>
  <c r="GC5" i="2"/>
  <c r="GB5" i="2"/>
  <c r="GA5" i="2"/>
  <c r="FZ5" i="2"/>
  <c r="FY5" i="2"/>
  <c r="FX5" i="2"/>
  <c r="FW5" i="2"/>
  <c r="FV5" i="2"/>
  <c r="FU5" i="2"/>
  <c r="FT5" i="2"/>
  <c r="FS5" i="2"/>
  <c r="FR5" i="2"/>
  <c r="FQ5" i="2"/>
  <c r="FP5" i="2"/>
  <c r="FO5" i="2"/>
  <c r="FN5" i="2"/>
  <c r="FM5" i="2"/>
  <c r="FL5" i="2"/>
  <c r="FK5" i="2"/>
  <c r="FJ5" i="2"/>
  <c r="FI5" i="2"/>
  <c r="FH5" i="2"/>
  <c r="FG5" i="2"/>
  <c r="FF5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IR4" i="2"/>
  <c r="IQ4" i="2"/>
  <c r="IP4" i="2"/>
  <c r="IO4" i="2"/>
  <c r="IN4" i="2"/>
  <c r="IM4" i="2"/>
  <c r="IL4" i="2"/>
  <c r="IK4" i="2"/>
  <c r="IJ4" i="2"/>
  <c r="II4" i="2"/>
  <c r="IH4" i="2"/>
  <c r="IG4" i="2"/>
  <c r="IF4" i="2"/>
  <c r="IE4" i="2"/>
  <c r="ID4" i="2"/>
  <c r="IC4" i="2"/>
  <c r="IB4" i="2"/>
  <c r="IA4" i="2"/>
  <c r="HZ4" i="2"/>
  <c r="HY4" i="2"/>
  <c r="HX4" i="2"/>
  <c r="HW4" i="2"/>
  <c r="HV4" i="2"/>
  <c r="HU4" i="2"/>
  <c r="HT4" i="2"/>
  <c r="HS4" i="2"/>
  <c r="HR4" i="2"/>
  <c r="HQ4" i="2"/>
  <c r="HP4" i="2"/>
  <c r="HO4" i="2"/>
  <c r="HN4" i="2"/>
  <c r="HM4" i="2"/>
  <c r="HL4" i="2"/>
  <c r="HK4" i="2"/>
  <c r="HJ4" i="2"/>
  <c r="HI4" i="2"/>
  <c r="HH4" i="2"/>
  <c r="HG4" i="2"/>
  <c r="HF4" i="2"/>
  <c r="HE4" i="2"/>
  <c r="HD4" i="2"/>
  <c r="HC4" i="2"/>
  <c r="HB4" i="2"/>
  <c r="HA4" i="2"/>
  <c r="GZ4" i="2"/>
  <c r="GY4" i="2"/>
  <c r="GX4" i="2"/>
  <c r="GW4" i="2"/>
  <c r="GV4" i="2"/>
  <c r="GU4" i="2"/>
  <c r="GT4" i="2"/>
  <c r="GS4" i="2"/>
  <c r="GR4" i="2"/>
  <c r="GQ4" i="2"/>
  <c r="GP4" i="2"/>
  <c r="GO4" i="2"/>
  <c r="GN4" i="2"/>
  <c r="GM4" i="2"/>
  <c r="GL4" i="2"/>
  <c r="GK4" i="2"/>
  <c r="GJ4" i="2"/>
  <c r="GI4" i="2"/>
  <c r="GH4" i="2"/>
  <c r="GG4" i="2"/>
  <c r="GF4" i="2"/>
  <c r="GE4" i="2"/>
  <c r="GD4" i="2"/>
  <c r="GC4" i="2"/>
  <c r="GB4" i="2"/>
  <c r="GA4" i="2"/>
  <c r="FZ4" i="2"/>
  <c r="FY4" i="2"/>
  <c r="FX4" i="2"/>
  <c r="FW4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IR3" i="2"/>
  <c r="IQ3" i="2"/>
  <c r="IP3" i="2"/>
  <c r="IO3" i="2"/>
  <c r="IN3" i="2"/>
  <c r="IM3" i="2"/>
  <c r="IL3" i="2"/>
  <c r="IK3" i="2"/>
  <c r="IJ3" i="2"/>
  <c r="II3" i="2"/>
  <c r="IH3" i="2"/>
  <c r="IG3" i="2"/>
  <c r="IF3" i="2"/>
  <c r="IE3" i="2"/>
  <c r="ID3" i="2"/>
  <c r="IC3" i="2"/>
  <c r="IB3" i="2"/>
  <c r="IA3" i="2"/>
  <c r="HZ3" i="2"/>
  <c r="HY3" i="2"/>
  <c r="HX3" i="2"/>
  <c r="HW3" i="2"/>
  <c r="HV3" i="2"/>
  <c r="HU3" i="2"/>
  <c r="HT3" i="2"/>
  <c r="HS3" i="2"/>
  <c r="HR3" i="2"/>
  <c r="HQ3" i="2"/>
  <c r="HP3" i="2"/>
  <c r="HO3" i="2"/>
  <c r="HN3" i="2"/>
  <c r="HM3" i="2"/>
  <c r="HL3" i="2"/>
  <c r="HK3" i="2"/>
  <c r="HJ3" i="2"/>
  <c r="HI3" i="2"/>
  <c r="HH3" i="2"/>
  <c r="HG3" i="2"/>
  <c r="HF3" i="2"/>
  <c r="HE3" i="2"/>
  <c r="HD3" i="2"/>
  <c r="HC3" i="2"/>
  <c r="HB3" i="2"/>
  <c r="HA3" i="2"/>
  <c r="GZ3" i="2"/>
  <c r="GY3" i="2"/>
  <c r="GX3" i="2"/>
  <c r="GW3" i="2"/>
  <c r="GV3" i="2"/>
  <c r="GU3" i="2"/>
  <c r="GT3" i="2"/>
  <c r="GS3" i="2"/>
  <c r="GR3" i="2"/>
  <c r="GQ3" i="2"/>
  <c r="GP3" i="2"/>
  <c r="GO3" i="2"/>
  <c r="GN3" i="2"/>
  <c r="GM3" i="2"/>
  <c r="GL3" i="2"/>
  <c r="GK3" i="2"/>
  <c r="GJ3" i="2"/>
  <c r="GI3" i="2"/>
  <c r="GH3" i="2"/>
  <c r="GG3" i="2"/>
  <c r="GF3" i="2"/>
  <c r="GE3" i="2"/>
  <c r="GD3" i="2"/>
  <c r="GC3" i="2"/>
  <c r="GB3" i="2"/>
  <c r="GA3" i="2"/>
  <c r="FZ3" i="2"/>
  <c r="FY3" i="2"/>
  <c r="FX3" i="2"/>
  <c r="FW3" i="2"/>
  <c r="FV3" i="2"/>
  <c r="FU3" i="2"/>
  <c r="FT3" i="2"/>
  <c r="FS3" i="2"/>
  <c r="FR3" i="2"/>
  <c r="FQ3" i="2"/>
  <c r="FP3" i="2"/>
  <c r="FO3" i="2"/>
  <c r="FN3" i="2"/>
  <c r="FM3" i="2"/>
  <c r="FL3" i="2"/>
  <c r="FK3" i="2"/>
  <c r="FJ3" i="2"/>
  <c r="FI3" i="2"/>
  <c r="FH3" i="2"/>
  <c r="FG3" i="2"/>
  <c r="FF3" i="2"/>
  <c r="FE3" i="2"/>
  <c r="FD3" i="2"/>
  <c r="FC3" i="2"/>
  <c r="FB3" i="2"/>
  <c r="FA3" i="2"/>
  <c r="EZ3" i="2"/>
  <c r="EY3" i="2"/>
  <c r="EX3" i="2"/>
  <c r="EW3" i="2"/>
  <c r="EV3" i="2"/>
  <c r="EU3" i="2"/>
  <c r="ET3" i="2"/>
  <c r="ES3" i="2"/>
  <c r="ER3" i="2"/>
  <c r="EQ3" i="2"/>
  <c r="EP3" i="2"/>
  <c r="EO3" i="2"/>
  <c r="EN3" i="2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EM2" i="2"/>
  <c r="EN2" i="2"/>
  <c r="EO2" i="2"/>
  <c r="EP2" i="2"/>
  <c r="EQ2" i="2"/>
  <c r="ER2" i="2"/>
  <c r="ES2" i="2"/>
  <c r="ET2" i="2"/>
  <c r="EU2" i="2"/>
  <c r="EV2" i="2"/>
  <c r="EW2" i="2"/>
  <c r="EX2" i="2"/>
  <c r="EY2" i="2"/>
  <c r="EZ2" i="2"/>
  <c r="FA2" i="2"/>
  <c r="FB2" i="2"/>
  <c r="FC2" i="2"/>
  <c r="FD2" i="2"/>
  <c r="FE2" i="2"/>
  <c r="FF2" i="2"/>
  <c r="FG2" i="2"/>
  <c r="FH2" i="2"/>
  <c r="FI2" i="2"/>
  <c r="FJ2" i="2"/>
  <c r="FK2" i="2"/>
  <c r="FL2" i="2"/>
  <c r="FM2" i="2"/>
  <c r="FN2" i="2"/>
  <c r="FO2" i="2"/>
  <c r="FP2" i="2"/>
  <c r="FQ2" i="2"/>
  <c r="FR2" i="2"/>
  <c r="FS2" i="2"/>
  <c r="FT2" i="2"/>
  <c r="FU2" i="2"/>
  <c r="FV2" i="2"/>
  <c r="FW2" i="2"/>
  <c r="FX2" i="2"/>
  <c r="FY2" i="2"/>
  <c r="FZ2" i="2"/>
  <c r="GA2" i="2"/>
  <c r="GB2" i="2"/>
  <c r="GC2" i="2"/>
  <c r="GD2" i="2"/>
  <c r="GE2" i="2"/>
  <c r="GF2" i="2"/>
  <c r="GG2" i="2"/>
  <c r="GH2" i="2"/>
  <c r="GI2" i="2"/>
  <c r="GJ2" i="2"/>
  <c r="GK2" i="2"/>
  <c r="GL2" i="2"/>
  <c r="GM2" i="2"/>
  <c r="GN2" i="2"/>
  <c r="GO2" i="2"/>
  <c r="GP2" i="2"/>
  <c r="GQ2" i="2"/>
  <c r="GR2" i="2"/>
  <c r="GS2" i="2"/>
  <c r="GT2" i="2"/>
  <c r="GU2" i="2"/>
  <c r="GV2" i="2"/>
  <c r="GW2" i="2"/>
  <c r="GX2" i="2"/>
  <c r="GY2" i="2"/>
  <c r="GZ2" i="2"/>
  <c r="HA2" i="2"/>
  <c r="HB2" i="2"/>
  <c r="HC2" i="2"/>
  <c r="HD2" i="2"/>
  <c r="HE2" i="2"/>
  <c r="HF2" i="2"/>
  <c r="HG2" i="2"/>
  <c r="HH2" i="2"/>
  <c r="HI2" i="2"/>
  <c r="HJ2" i="2"/>
  <c r="HK2" i="2"/>
  <c r="HL2" i="2"/>
  <c r="HM2" i="2"/>
  <c r="HN2" i="2"/>
  <c r="HO2" i="2"/>
  <c r="HP2" i="2"/>
  <c r="HQ2" i="2"/>
  <c r="HR2" i="2"/>
  <c r="HS2" i="2"/>
  <c r="HT2" i="2"/>
  <c r="HU2" i="2"/>
  <c r="HV2" i="2"/>
  <c r="HW2" i="2"/>
  <c r="HX2" i="2"/>
  <c r="HY2" i="2"/>
  <c r="HZ2" i="2"/>
  <c r="IA2" i="2"/>
  <c r="IB2" i="2"/>
  <c r="IC2" i="2"/>
  <c r="ID2" i="2"/>
  <c r="IE2" i="2"/>
  <c r="IF2" i="2"/>
  <c r="IG2" i="2"/>
  <c r="IH2" i="2"/>
  <c r="II2" i="2"/>
  <c r="IJ2" i="2"/>
  <c r="IK2" i="2"/>
  <c r="IL2" i="2"/>
  <c r="IM2" i="2"/>
  <c r="IN2" i="2"/>
  <c r="IO2" i="2"/>
  <c r="IP2" i="2"/>
  <c r="IQ2" i="2"/>
  <c r="IR2" i="2"/>
  <c r="G2" i="2"/>
  <c r="E3" i="1"/>
  <c r="E17" i="1" l="1"/>
  <c r="E18" i="1" s="1"/>
  <c r="B6" i="1" s="1"/>
  <c r="C6" i="1" s="1"/>
  <c r="D6" i="1" l="1"/>
  <c r="G13" i="1"/>
  <c r="G14" i="1"/>
  <c r="I14" i="1" s="1"/>
  <c r="G15" i="1"/>
  <c r="I15" i="1" s="1"/>
  <c r="C9" i="1"/>
  <c r="I13" i="1" l="1"/>
  <c r="G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39D63-01AC-4B6E-B449-A1FC7CD9D143}" keepAlive="1" name="쿼리 - 매매기준율표(통화명/환율(원)/전일대비)" description="통합 문서의 '매매기준율표(통화명/환율(원)/전일대비)' 쿼리에 대한 연결입니다." type="5" refreshedVersion="8" background="1" saveData="1">
    <dbPr connection="Provider=Microsoft.Mashup.OleDb.1;Data Source=$Workbook$;Location=매매기준율표(통화명/환율(원)/전일대비);Extended Properties=&quot;&quot;" command="SELECT * FROM [매매기준율표(통화명/환율(원)/전일대비)]"/>
  </connection>
  <connection id="2" xr16:uid="{E26E551A-BBBD-4323-B175-E8EA785E3D9F}" keepAlive="1" name="쿼리 - 재정된 매매기준율" description="통합 문서의 '재정된 매매기준율' 쿼리에 대한 연결입니다." type="5" refreshedVersion="8" background="1" saveData="1">
    <dbPr connection="Provider=Microsoft.Mashup.OleDb.1;Data Source=$Workbook$;Location=&quot;재정된 매매기준율&quot;;Extended Properties=&quot;&quot;" command="SELECT * FROM [재정된 매매기준율]"/>
  </connection>
</connections>
</file>

<file path=xl/sharedStrings.xml><?xml version="1.0" encoding="utf-8"?>
<sst xmlns="http://schemas.openxmlformats.org/spreadsheetml/2006/main" count="1507" uniqueCount="601">
  <si>
    <t>USD</t>
    <phoneticPr fontId="3" type="noConversion"/>
  </si>
  <si>
    <t>사업계획 영업이익</t>
    <phoneticPr fontId="3" type="noConversion"/>
  </si>
  <si>
    <t>예상 이자수익</t>
    <phoneticPr fontId="3" type="noConversion"/>
  </si>
  <si>
    <t>위험포션</t>
    <phoneticPr fontId="3" type="noConversion"/>
  </si>
  <si>
    <t>허용가능 최대손익</t>
    <phoneticPr fontId="3" type="noConversion"/>
  </si>
  <si>
    <t>現외화보유현황[AS-IS]</t>
    <phoneticPr fontId="3" type="noConversion"/>
  </si>
  <si>
    <t>통화별</t>
    <phoneticPr fontId="3" type="noConversion"/>
  </si>
  <si>
    <t>환율</t>
    <phoneticPr fontId="3" type="noConversion"/>
  </si>
  <si>
    <t>현재통화별잔액</t>
    <phoneticPr fontId="3" type="noConversion"/>
  </si>
  <si>
    <t>최대 환율 변동폭</t>
    <phoneticPr fontId="3" type="noConversion"/>
  </si>
  <si>
    <t>적정 외화보유한도</t>
    <phoneticPr fontId="3" type="noConversion"/>
  </si>
  <si>
    <t>현재 자금 총액</t>
    <phoneticPr fontId="3" type="noConversion"/>
  </si>
  <si>
    <t>전체 자금대비 외화비율</t>
    <phoneticPr fontId="3" type="noConversion"/>
  </si>
  <si>
    <t>※ 최대환율 변동폭 계산</t>
    <phoneticPr fontId="3" type="noConversion"/>
  </si>
  <si>
    <t>외화 통화별 적정보유량[TO-BE]</t>
    <phoneticPr fontId="3" type="noConversion"/>
  </si>
  <si>
    <t>1년 간 환율 변동의 표준편차 계산</t>
    <phoneticPr fontId="3" type="noConversion"/>
  </si>
  <si>
    <t>표준편차</t>
    <phoneticPr fontId="3" type="noConversion"/>
  </si>
  <si>
    <t>가중치(보유비율)</t>
    <phoneticPr fontId="3" type="noConversion"/>
  </si>
  <si>
    <t>가중치 반영 표준편차</t>
    <phoneticPr fontId="3" type="noConversion"/>
  </si>
  <si>
    <t>통화별 유지목표</t>
    <phoneticPr fontId="3" type="noConversion"/>
  </si>
  <si>
    <t xml:space="preserve">USD </t>
  </si>
  <si>
    <t>(외화MMDA 6.2백만불, 외화정기예금 1백만불 포함)</t>
  </si>
  <si>
    <t xml:space="preserve">EUR   </t>
  </si>
  <si>
    <t>EUR</t>
    <phoneticPr fontId="3" type="noConversion"/>
  </si>
  <si>
    <t xml:space="preserve">JPY   </t>
  </si>
  <si>
    <t>JPY</t>
    <phoneticPr fontId="3" type="noConversion"/>
  </si>
  <si>
    <t>GBP</t>
    <phoneticPr fontId="3" type="noConversion"/>
  </si>
  <si>
    <t>전체 통화 변동율(표준편차)</t>
    <phoneticPr fontId="3" type="noConversion"/>
  </si>
  <si>
    <t>적용 최대 환율 변동폭</t>
    <phoneticPr fontId="3" type="noConversion"/>
  </si>
  <si>
    <t>일반적(95%신뢰도)</t>
  </si>
  <si>
    <t>환전금액(KRW)</t>
    <phoneticPr fontId="3" type="noConversion"/>
  </si>
  <si>
    <t>환전금액(USD)</t>
    <phoneticPr fontId="3" type="noConversion"/>
  </si>
  <si>
    <t>환전환율</t>
    <phoneticPr fontId="3" type="noConversion"/>
  </si>
  <si>
    <t>환차익</t>
    <phoneticPr fontId="3" type="noConversion"/>
  </si>
  <si>
    <t>변수 목록:</t>
    <phoneticPr fontId="3" type="noConversion"/>
  </si>
  <si>
    <t>예상 사업계획 영업이익, 예상 이자수익, 자금보유액</t>
    <phoneticPr fontId="3" type="noConversion"/>
  </si>
  <si>
    <r>
      <rPr>
        <b/>
        <u/>
        <sz val="11"/>
        <color theme="1"/>
        <rFont val="맑은 고딕"/>
        <family val="3"/>
        <charset val="129"/>
        <scheme val="minor"/>
      </rPr>
      <t>상수화 필요:</t>
    </r>
    <r>
      <rPr>
        <sz val="11"/>
        <color theme="1"/>
        <rFont val="맑은 고딕"/>
        <family val="2"/>
        <charset val="129"/>
        <scheme val="minor"/>
      </rPr>
      <t xml:space="preserve"> 위험포션 → 의사결정의 영역. 영업이익+이자수익의 어느정도까지는 환리스크 노출 하겠다!</t>
    </r>
    <phoneticPr fontId="3" type="noConversion"/>
  </si>
  <si>
    <t>상수 목록: 월 또는 분기별 Back Data 업데이트</t>
    <phoneticPr fontId="3" type="noConversion"/>
  </si>
  <si>
    <t>최대 환율 변동폭: 지난 1년 간 주요통화의 변동성을 표준편차로 구했고, 회사의 보유외화 비율에 따라 가중치를 반영.</t>
    <phoneticPr fontId="3" type="noConversion"/>
  </si>
  <si>
    <t xml:space="preserve">                        이후, 해당 표준편차의 신뢰도 부여를 위한 추가 가중치를 설정하여 적용할 최대 환율 변동폭을 산출함.(현재는 신뢰도 95% 수준으로 설정)</t>
    <phoneticPr fontId="3" type="noConversion"/>
  </si>
  <si>
    <t>URL:</t>
    <phoneticPr fontId="3" type="noConversion"/>
  </si>
  <si>
    <t>https://ecos.bok.or.kr/#/SearchStat</t>
  </si>
  <si>
    <t>원/달러 변동율</t>
    <phoneticPr fontId="3" type="noConversion"/>
  </si>
  <si>
    <t>원/유로 변동율</t>
    <phoneticPr fontId="3" type="noConversion"/>
  </si>
  <si>
    <t>원/파운드 변동율</t>
    <phoneticPr fontId="3" type="noConversion"/>
  </si>
  <si>
    <t>원/엔화 변동율</t>
    <phoneticPr fontId="3" type="noConversion"/>
  </si>
  <si>
    <t>통계표</t>
  </si>
  <si>
    <t>코드(계정항목)</t>
  </si>
  <si>
    <t>계정항목</t>
  </si>
  <si>
    <t>단위</t>
  </si>
  <si>
    <t>변환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</si>
  <si>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</si>
  <si>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</si>
  <si>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</si>
  <si>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</si>
  <si>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</si>
  <si>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</si>
  <si>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</si>
  <si>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</si>
  <si>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</si>
  <si>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</si>
  <si>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</si>
  <si>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</si>
  <si>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</si>
  <si>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</si>
  <si>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</si>
  <si>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</si>
  <si>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</si>
  <si>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</si>
  <si>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</si>
  <si>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</si>
  <si>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</si>
  <si>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</si>
  <si>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</si>
  <si>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</si>
  <si>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</si>
  <si>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</si>
  <si>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</si>
  <si>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</si>
  <si>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</si>
  <si>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</si>
  <si>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</si>
  <si>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</si>
  <si>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</si>
  <si>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</si>
  <si>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</si>
  <si>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</si>
  <si>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</si>
  <si>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</si>
  <si>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</si>
  <si>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</si>
  <si>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</si>
  <si>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</si>
  <si>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</si>
  <si>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</si>
  <si>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</si>
  <si>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</si>
  <si>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</si>
  <si>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</si>
  <si>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</si>
  <si>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</si>
  <si>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</si>
  <si>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</si>
  <si>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</si>
  <si>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</si>
  <si>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</si>
  <si>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</si>
  <si>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</si>
  <si>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</si>
  <si>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</si>
  <si>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</si>
  <si>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</si>
  <si>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</si>
  <si>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</si>
  <si>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</si>
  <si>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</si>
  <si>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</si>
  <si>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</si>
  <si>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</si>
  <si>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</si>
  <si>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</si>
  <si>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</si>
  <si>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</si>
  <si>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</si>
  <si>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</si>
  <si>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</si>
  <si>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</si>
  <si>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</si>
  <si>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</si>
  <si>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</si>
  <si>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</si>
  <si>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</si>
  <si>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</si>
  <si>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</si>
  <si>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</si>
  <si>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</si>
  <si>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</si>
  <si>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</si>
  <si>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</si>
  <si>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</si>
  <si>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</si>
  <si>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</si>
  <si>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</si>
  <si>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</si>
  <si>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</si>
  <si>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</si>
  <si>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</si>
  <si>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</si>
  <si>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</si>
  <si>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</si>
  <si>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</si>
  <si>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</si>
  <si>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</si>
  <si>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</si>
  <si>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</si>
  <si>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</si>
  <si>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</si>
  <si>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</si>
  <si>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</si>
  <si>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</si>
  <si>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</si>
  <si>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</si>
  <si>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</si>
  <si>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</si>
  <si>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</si>
  <si>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</si>
  <si>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</si>
  <si>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</si>
  <si>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</si>
  <si>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</si>
  <si>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</si>
  <si>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</si>
  <si>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</si>
  <si>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</si>
  <si>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</si>
  <si>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</si>
  <si>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</si>
  <si>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</si>
  <si>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</si>
  <si>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</si>
  <si>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</si>
  <si>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</si>
  <si>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</si>
  <si>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</si>
  <si>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</si>
  <si>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</si>
  <si>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</si>
  <si>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</si>
  <si>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</si>
  <si>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</si>
  <si>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</si>
  <si>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</si>
  <si>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</si>
  <si>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</si>
  <si>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</si>
  <si>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</si>
  <si>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</si>
  <si>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</si>
  <si>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</si>
  <si>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</si>
  <si>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</si>
  <si>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</si>
  <si>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</si>
  <si>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</si>
  <si>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</si>
  <si>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</si>
  <si>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</si>
  <si>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</si>
  <si>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</si>
  <si>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</si>
  <si>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</si>
  <si>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</si>
  <si>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</si>
  <si>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</si>
  <si>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</si>
  <si>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</si>
  <si>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</si>
  <si>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</si>
  <si>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</si>
  <si>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</si>
  <si>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</si>
  <si>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</si>
  <si>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</si>
  <si>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</si>
  <si>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</si>
  <si>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</si>
  <si>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</si>
  <si>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</si>
  <si>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</si>
  <si>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</si>
  <si>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</si>
  <si>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</si>
  <si>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</si>
  <si>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</si>
  <si>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</si>
  <si>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</si>
  <si>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</si>
  <si>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</si>
  <si>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</si>
  <si>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</si>
  <si>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</si>
  <si>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</si>
  <si>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</si>
  <si>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</si>
  <si>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</si>
  <si>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</si>
  <si>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</si>
  <si>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</si>
  <si>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</si>
  <si>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</si>
  <si>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</si>
  <si>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</si>
  <si>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</si>
  <si>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</si>
  <si>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</si>
  <si>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</si>
  <si>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</si>
  <si>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</si>
  <si>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</si>
  <si>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</si>
  <si>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</si>
  <si>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</si>
  <si>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</si>
  <si>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</si>
  <si>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</si>
  <si>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</si>
  <si>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</si>
  <si>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</si>
  <si>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</si>
  <si>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</si>
  <si>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</si>
  <si>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</si>
  <si>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</si>
  <si>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</si>
  <si>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</si>
  <si>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</si>
  <si>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</si>
  <si>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</si>
  <si>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</si>
  <si>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</si>
  <si>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</si>
  <si>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</si>
  <si>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</si>
  <si>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</si>
  <si>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</si>
  <si>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</si>
  <si>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</si>
  <si>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</si>
  <si>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</si>
  <si>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</si>
  <si>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</si>
  <si>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</si>
  <si>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</si>
  <si>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</si>
  <si>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</si>
  <si>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</si>
  <si>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</si>
  <si>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</si>
  <si>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3.1.1.1. 주요국 통화의 대원화환율</t>
  </si>
  <si>
    <t>원/미국달러(매매기준율)</t>
  </si>
  <si>
    <t>원</t>
  </si>
  <si>
    <t>원자료</t>
  </si>
  <si>
    <t>원/위안(매매기준율)</t>
  </si>
  <si>
    <t>원/일본엔(100엔)</t>
  </si>
  <si>
    <t>원/유로</t>
  </si>
  <si>
    <t>원/독일마르크</t>
  </si>
  <si>
    <t>원/프랑스프랑</t>
  </si>
  <si>
    <t>원/이태리리라(100리라)</t>
  </si>
  <si>
    <t>원/벨기에프랑</t>
  </si>
  <si>
    <t>원/오스트리아실링</t>
  </si>
  <si>
    <t>원/네덜란드길더</t>
  </si>
  <si>
    <t>원/스페인페세타(100페세타)</t>
  </si>
  <si>
    <t>원/핀란드마르카</t>
  </si>
  <si>
    <t>원/영국파운드</t>
  </si>
  <si>
    <t>원/캐나다달러</t>
  </si>
  <si>
    <t>원/스위스프랑</t>
  </si>
  <si>
    <t>원/호주달러</t>
  </si>
  <si>
    <t>원/뉴질랜드달러</t>
  </si>
  <si>
    <t>원/중국위안</t>
  </si>
  <si>
    <t>원/홍콩위안</t>
  </si>
  <si>
    <t>원/홍콩달러</t>
  </si>
  <si>
    <t>원/대만달러</t>
  </si>
  <si>
    <t>원/몽골투그릭</t>
  </si>
  <si>
    <t>원/카자흐스탄텡게</t>
  </si>
  <si>
    <t>원/태국바트</t>
  </si>
  <si>
    <t>원/싱가포르달러</t>
  </si>
  <si>
    <t>원/인도네시아루피아(100루피아)</t>
  </si>
  <si>
    <t>원/말레이지아링깃</t>
  </si>
  <si>
    <t>원/필리핀페소</t>
  </si>
  <si>
    <t>원/베트남동(100동)</t>
  </si>
  <si>
    <t>원/브루나이달러</t>
  </si>
  <si>
    <t>원/인도루피</t>
  </si>
  <si>
    <t>원/파키스탄루피</t>
  </si>
  <si>
    <t>원/방글라데시타카</t>
  </si>
  <si>
    <t>원/멕시코 페소</t>
  </si>
  <si>
    <t>원/브라질 헤알</t>
  </si>
  <si>
    <t>원/아르헨티나페소</t>
  </si>
  <si>
    <t>원/스웨덴크로나</t>
  </si>
  <si>
    <t>원/덴마크크로나</t>
  </si>
  <si>
    <t>원/노르웨이크로나</t>
  </si>
  <si>
    <t>원/러시아루블</t>
  </si>
  <si>
    <t>원/헝가리포린트</t>
  </si>
  <si>
    <t>원/폴란트즈워티</t>
  </si>
  <si>
    <t>원/체코코루나</t>
  </si>
  <si>
    <t>원/사우디아라비아리얄</t>
  </si>
  <si>
    <t>원/카타르리얄</t>
  </si>
  <si>
    <t>원/이스라엘셰켈</t>
  </si>
  <si>
    <t>원/요르단디나르</t>
  </si>
  <si>
    <t>원/쿠웨이트디나르</t>
  </si>
  <si>
    <t>원/바레인디나르</t>
  </si>
  <si>
    <t>원/아랍에미리트디르함</t>
  </si>
  <si>
    <t>원/튀르키예리라</t>
  </si>
  <si>
    <t>원/남아프리카공화국랜드</t>
  </si>
  <si>
    <t>원/이집트파운드</t>
  </si>
  <si>
    <t>통화명</t>
  </si>
  <si>
    <t>환율(원)</t>
  </si>
  <si>
    <t>전일대비</t>
  </si>
  <si>
    <t>미국 달러 (USD)</t>
  </si>
  <si>
    <t>유로 (EUR)</t>
  </si>
  <si>
    <t>일본 엔 (JPY) (100)</t>
  </si>
  <si>
    <t>Cross Rate</t>
  </si>
  <si>
    <t>Cross Rate_1</t>
  </si>
  <si>
    <t/>
  </si>
  <si>
    <t>(US$)</t>
  </si>
  <si>
    <t>영국 파운드 (GBP)</t>
  </si>
  <si>
    <t>캐나다 달러 (CAD)</t>
  </si>
  <si>
    <t>스위스 프랑 (CHF)</t>
  </si>
  <si>
    <t>호주 달러 (AUD)</t>
  </si>
  <si>
    <t>뉴질랜드 달러 (NZD)</t>
  </si>
  <si>
    <t>홍콩 달러 (HKD)</t>
  </si>
  <si>
    <t>대만 달러 (TWD)</t>
  </si>
  <si>
    <t>몽골 투그릭 (MNT)</t>
  </si>
  <si>
    <t>카자흐스탄 텡게 (KZT)</t>
  </si>
  <si>
    <t>태국 밧 (THB)</t>
  </si>
  <si>
    <t>싱가포르 달러 (SGD)</t>
  </si>
  <si>
    <t>인도네시아 루피아 (IDR) (100)</t>
  </si>
  <si>
    <t>말레이시아 링깃 (MYR)</t>
  </si>
  <si>
    <t>필리핀 페소 (PHP)</t>
  </si>
  <si>
    <t>베트남 동 (VND) (100)</t>
  </si>
  <si>
    <t>브루나이 달러 (BND)</t>
  </si>
  <si>
    <t>인도 루피 (INR)</t>
  </si>
  <si>
    <t>파키스탄 루피 (PKR)</t>
  </si>
  <si>
    <t>방글라데시 타카 (BDT)</t>
  </si>
  <si>
    <t>캄보디아 리엘 (KHR)</t>
  </si>
  <si>
    <t>마카오 파타카 (MOP)</t>
  </si>
  <si>
    <t>네팔 루피 (NPR)</t>
  </si>
  <si>
    <t>스리랑카 루피 (LKR)</t>
  </si>
  <si>
    <t>우즈베키스탄 숨 (UZS)</t>
  </si>
  <si>
    <t>미얀마 짯 (MMK)</t>
  </si>
  <si>
    <t>멕시코 페소 (MXN)</t>
  </si>
  <si>
    <t>브라질 헤알 (BRL)</t>
  </si>
  <si>
    <t>아르헨티나 페소 (ARS)</t>
  </si>
  <si>
    <t>칠레 페소 (CLP)</t>
  </si>
  <si>
    <t>콜롬비아 페소 (COP)</t>
  </si>
  <si>
    <t>스웨덴 크로나 (SEK)</t>
  </si>
  <si>
    <t>덴마크 크로네 (DKK)</t>
  </si>
  <si>
    <t>노르웨이 크로네 (NOK)</t>
  </si>
  <si>
    <t>러시아 루블 (RUB)</t>
  </si>
  <si>
    <t>헝가리 포린트 (HUF)</t>
  </si>
  <si>
    <t>폴란드 즈워티 (PLN)</t>
  </si>
  <si>
    <t>체코 코루나 (CZK)</t>
  </si>
  <si>
    <t>루마니아 레우 (RON)</t>
  </si>
  <si>
    <t>사우디아라비아 리얄 (SAR)</t>
  </si>
  <si>
    <t>카타르 리얄 (QAR)</t>
  </si>
  <si>
    <t>이스라엘 셰켈 (ILS)</t>
  </si>
  <si>
    <t>요르단 디나르 (JOD)</t>
  </si>
  <si>
    <t>쿠웨이트 디나르 (KWD)</t>
  </si>
  <si>
    <t>바레인 디나르 (BHD)</t>
  </si>
  <si>
    <t>아랍에미리트 디르함 (AED)</t>
  </si>
  <si>
    <t>튀르키예 리라 (TRY)</t>
  </si>
  <si>
    <t>오만 리얄 (OMR)</t>
  </si>
  <si>
    <t>남아프리카공화국 랜드 (ZAR)</t>
  </si>
  <si>
    <t>이집트 파운드 (EGP)</t>
  </si>
  <si>
    <t>케냐 실링 (KES)</t>
  </si>
  <si>
    <t>리비아 디나르 (LYD)</t>
  </si>
  <si>
    <t>에티오피아 비르 (ETB)</t>
  </si>
  <si>
    <t>피지 달러 (FJD)</t>
  </si>
  <si>
    <t>회계일</t>
  </si>
  <si>
    <t>기표자</t>
  </si>
  <si>
    <t>기표부서</t>
  </si>
  <si>
    <t>계정과목</t>
  </si>
  <si>
    <t>비용구분</t>
  </si>
  <si>
    <t>적요</t>
  </si>
  <si>
    <t>이월잔액</t>
  </si>
  <si>
    <t>차변금액</t>
  </si>
  <si>
    <t>대변금액</t>
  </si>
  <si>
    <t>잔액</t>
  </si>
  <si>
    <t>　</t>
  </si>
  <si>
    <t>김다은(2)</t>
  </si>
  <si>
    <t>경영본부</t>
  </si>
  <si>
    <t>이자수익</t>
  </si>
  <si>
    <t>외화</t>
  </si>
  <si>
    <t>기업은행 외화정기예금 $10,000,000 만기시 이자수익</t>
  </si>
  <si>
    <t>원화</t>
  </si>
  <si>
    <t>기업은행 정기예금(원주013) 30억 만기시 이자수익</t>
  </si>
  <si>
    <t>보통예금(기업011)이자수익</t>
  </si>
  <si>
    <t>김운주(2)</t>
  </si>
  <si>
    <t>대여금이자</t>
  </si>
  <si>
    <t>1월 경영관리부 차장 백종완 대여금이자(5,000,000*4.6%*20/365)(12/31~1/20)</t>
  </si>
  <si>
    <t>1월 제조사업부 차장 신승철 대여금이자(20,000,000*4.6%*20/365)(12/31~1/20)</t>
  </si>
  <si>
    <t>1월 제조사업부 차장 이기혁 대여금이자(30,000,000*4.6%*20/365)(12/31~1/20)</t>
  </si>
  <si>
    <t>하나은행 외화정기예금 $1,000,000 (3개월) 만기시 이자수익</t>
  </si>
  <si>
    <t>KB증권 자사주취득신탁계좌 이자수익</t>
  </si>
  <si>
    <t>기업은행 정기예금(원주008) 65억 만기시 이자수익</t>
  </si>
  <si>
    <t>보통예금(기업011) 이자수익</t>
  </si>
  <si>
    <t>2월 경영관리부 차장 백종완 대여금이자(5,000,000*4.6%*11/365)(1/20~1/31)</t>
  </si>
  <si>
    <t>2월 제조사업부 차장 신승철 대여금이자(20,000,000*4.6%*31/365)(1/20~2/20)</t>
  </si>
  <si>
    <t>2월 제조사업부 차장 이기혁 대여금이자(30,000,000*4.6%*31/365)(1/20~2/20)</t>
  </si>
  <si>
    <t>하나은행 정기예금(반포남811) 50억 만기시 이자수익</t>
  </si>
  <si>
    <t>하나은행 정기예금(반포남111) 50억 만기시 이자수익</t>
  </si>
  <si>
    <t>기업은행 정기예금(원주012) 100억 만기 시 이자수익</t>
  </si>
  <si>
    <t>국민은행 정기예금(방배637) 20억 만기 시 이자수익</t>
  </si>
  <si>
    <t>국민은행 정기예금(방배637) 10억 만기 시 이자수익</t>
  </si>
  <si>
    <t>보통예금(국민460) 이자수익</t>
  </si>
  <si>
    <t>보통예금(우리825) 이자수익</t>
  </si>
  <si>
    <t>원화mmda</t>
  </si>
  <si>
    <t>보통예금(기업MMDA166) 이자수익</t>
  </si>
  <si>
    <t>보통예금(기업173) 이자수익</t>
  </si>
  <si>
    <t>박상희</t>
  </si>
  <si>
    <t>권현우</t>
  </si>
  <si>
    <t>3월 제조사업부 차장 신승철 대여금이자(20,000,000*4.6%*49/365)(2/20~3/31)</t>
  </si>
  <si>
    <t>3월 제조사업부 차장 이기혁 대여금이자(30,000,000*4.6%*31/365)(2/20~3/31)</t>
  </si>
  <si>
    <t>보통예금(신한RCMS751) 이자수익</t>
  </si>
  <si>
    <t>외화예금(기업217)달러이자수익($73.12)</t>
  </si>
  <si>
    <t>외화예금(기업217)엔화이자수익(JPY72)</t>
  </si>
  <si>
    <t>외화예금(기업217)유로이자수익(EUR5.32)</t>
  </si>
  <si>
    <t>외화예금(기업MMDA)달러이자수익($24,899.26)</t>
  </si>
  <si>
    <t>2025년 1분기 결산분개 - 미수수익 계상</t>
  </si>
  <si>
    <t>성숙화</t>
  </si>
  <si>
    <t>생산1팀</t>
  </si>
  <si>
    <t>3월 이자수익입금-문막농협 동화점</t>
  </si>
  <si>
    <t>리스</t>
  </si>
  <si>
    <t>2025년 1분기 결산분개 - 리스 매출</t>
  </si>
  <si>
    <t>2025년 1분기 결산분개 - 리스 건물 인식</t>
  </si>
  <si>
    <t>기업은행 정기예금(원주003) 20억 만기시 이자수익</t>
  </si>
  <si>
    <t>국민은행 외화정기예금 $10,000,000 만기시 이자수익</t>
  </si>
  <si>
    <t>기업은행 정기예금(원주007) 167억 만기시 이자수익</t>
  </si>
  <si>
    <t>4월 제조사업부 차장 신승철 대여금이자(20,000,000*4.6%*19/365)(4/1~4/20)</t>
  </si>
  <si>
    <t>4월 제조사업부 차장 이기혁 대여금이자(30,000,000*4.6%*19/365)(4/1~4/20)</t>
  </si>
  <si>
    <t>KB증권 자사주취득신탁계좌 5월 이자수익</t>
  </si>
  <si>
    <t>5월 제조사업부 차장 신승철 대여금이자(20,000,000*4.6%*19/365)(4/21~5/20)</t>
  </si>
  <si>
    <t>5월 제조사업부 차장 이기혁 대여금이자(30,000,000*4.6%*19/365)(4/21~5/20)</t>
  </si>
  <si>
    <t>6월 제조사업부 차장 신승철 대여금이자(20,000,000*4.6%*40/365)(5/21~6/30)</t>
  </si>
  <si>
    <t>6월 제조사업부 차장 이기혁 대여금이자(30,000,000*4.6%*40/365)(5/21~6/30)</t>
  </si>
  <si>
    <t>보통예금(신한329)이자수익</t>
  </si>
  <si>
    <t>보통예금(신한USC개발790)이자수익</t>
  </si>
  <si>
    <t>보통예금(하나222) 이자수익</t>
  </si>
  <si>
    <t>보통예금(하나264) 이자수익</t>
  </si>
  <si>
    <t>기업은행 정기예금(원주014) 10억 만기해지시 이자수익</t>
  </si>
  <si>
    <t>외화예금(기업217)달러이자수익($88.41)</t>
  </si>
  <si>
    <t>외화예금(기업217)엔화이자수익(JPY80)</t>
  </si>
  <si>
    <t>외화예금(기업217)유로이자수익(EUR5.02)</t>
  </si>
  <si>
    <t>외화예금(기업MMDA)달러이자수익($28,932.99)</t>
  </si>
  <si>
    <t>2025년 2분기 결산분개 - 리스 건물 인식</t>
  </si>
  <si>
    <t>6월 이자수익입금-문막농협 동화점</t>
  </si>
  <si>
    <t>박은진</t>
  </si>
  <si>
    <t>Marketing1팀</t>
  </si>
  <si>
    <t>2024년 서울사무소 이자수익</t>
  </si>
  <si>
    <t>2025년 2분기 결산분개 - 미수수익 계상</t>
  </si>
  <si>
    <t>전환사채</t>
  </si>
  <si>
    <t>2025년 2분기 결산분개 - 미수수익 계상(20억, 전환사채)</t>
  </si>
  <si>
    <t>2025년 2분기 결산분개 - 리스 매출</t>
  </si>
  <si>
    <t>기업은행 정기예금(원주003) 20억 만기해지시 이자수익</t>
  </si>
  <si>
    <t>7월 제조사업부 차장 신승철 대여금이자(20,000,000*4.6%*19/365)(7/1~7/20)</t>
  </si>
  <si>
    <t>7월 제조사업부 차장 이기혁 대여금이자(30,000,000*4.6%*40/365)(7/1~7/20)</t>
  </si>
  <si>
    <t>안은미</t>
  </si>
  <si>
    <t>국민은행 외화정기예금 ($3,000,000 , 4.20%) 만기해지시 이자</t>
  </si>
  <si>
    <t>국민은행 외화정기예금 ($4,000,000 , 4.20%) 만기해지시 이자</t>
  </si>
  <si>
    <t>보통예금(KB증권181) 이자수익</t>
  </si>
  <si>
    <t>8월 제조사업부 차장 신승철 대여금이자(20,000,000*4.6%*30/365)(7/21~8/20)</t>
  </si>
  <si>
    <t>8월 제조사업부 차장 이기혁 대여금이자(30,000,000*4.6%*30/365)(7/21~8/20)</t>
  </si>
  <si>
    <t>8월 연구소 전임연구원 천승범 대여금이자(26,000,000*4.6%*15/365)(8/5~8/20)</t>
  </si>
  <si>
    <t>하나은행 정기예금(반포남911) 50억 만기시 이자수익</t>
  </si>
  <si>
    <t>2025년 2분기 결산분개 - 미수수익 계상(50억, 3.08%)</t>
  </si>
  <si>
    <t>국민은행 외화정기예금 $3,000,000 만기해지시 이자수익</t>
  </si>
  <si>
    <t>원화국채</t>
  </si>
  <si>
    <t>KB증권 국채 이자수익(2025.08.13~2025.09.10)</t>
  </si>
  <si>
    <t>국민은행 외화정기예금 $1,000,000 만기시 이자수익</t>
  </si>
  <si>
    <t>국민은행 정기예금(방배637) 30억 만기 시 이자수익</t>
  </si>
  <si>
    <t>9월 제조사업부 차장 신승철 대여금이자(20,000,000*4.6%*30/365)(8/21~9/30)</t>
  </si>
  <si>
    <t>9월 제조사업부 차장 이기혁 대여금이자(30,000,000*4.6%*30/365)(8/21~9/30)</t>
  </si>
  <si>
    <t>9월 연구소 전임연구원 천승범 대여금이자(26,000,000*4.6%*15/365)(8/21~9/30)</t>
  </si>
  <si>
    <t>보통예금(기업255) 이자수익</t>
  </si>
  <si>
    <t>보통예금(기업RCMS262) 이자수익</t>
  </si>
  <si>
    <t>보통예금(기업270) 이자수익</t>
  </si>
  <si>
    <t>기업은행 정기예금(원주015) 73억 만기해지시 이자수익</t>
  </si>
  <si>
    <t>외화예금(기업217)달러이자수익($136.49)</t>
  </si>
  <si>
    <t>외화예금(기업217)엔화이자수익(JPY71)</t>
  </si>
  <si>
    <t>외화예금(기업217)유로이자수익(EUR2.28)</t>
  </si>
  <si>
    <t>외화예금(기업MMDA)달러이자수익($32,345.16)</t>
  </si>
  <si>
    <t>2025년 3분기 결산분개 - 미수수익 계상</t>
  </si>
  <si>
    <t>2025년 3분기 결산분개 - 미수수익 계상(국채, 2.625%)</t>
  </si>
  <si>
    <t>2025년 3분기 결산분개 - 미수수익 계상(20억, 전환사채)</t>
  </si>
  <si>
    <t>9월 이자수익입금 문막농협동화점</t>
  </si>
  <si>
    <t>2025년 3분기 결산분개 - 리스 매출</t>
  </si>
  <si>
    <t>2025년 3분기 결산분개 - 리스 건물 인식</t>
  </si>
  <si>
    <t>보통예금(KB증권181) RP 이자수익(2025.09.10~2025.10.13)</t>
  </si>
  <si>
    <t>기업은행 정기예금(원주007) 150억 만기해지시 이자수익</t>
  </si>
  <si>
    <t>10월 제조사업부 차장 신승철 대여금이자(20,000,000*4.6%*30/365)(10/1~10/20)</t>
  </si>
  <si>
    <t>10월 제조사업부 차장 이기혁 대여금이자(30,000,000*4.6%*30/365)(10/1~10/20)</t>
  </si>
  <si>
    <t>10월 연구소 전임연구원 천승범 대여금이자(26,000,000*4.6%*15/365)(10/1~10/20)</t>
  </si>
  <si>
    <t>KB증권 발행어음 50억원 만기해지시 이자수익</t>
  </si>
  <si>
    <t>보통예금(KB증권181) RP 이자수익(2025.10.13~2025.11.13)</t>
  </si>
  <si>
    <t>기업은행 정기예금(원주008) 40억 만기시 이자수익</t>
  </si>
  <si>
    <t>11월 제조사업부 차장 신승철 대여금이자(20,000,000*4.6%*30/365)(10/21~11/20)</t>
  </si>
  <si>
    <t>11월 제조사업부 차장 이기혁 대여금이자(30,000,000*4.6%*30/365)(10/21~11/20)</t>
  </si>
  <si>
    <t>11월 연구소 전임연구원 천승범 대여금이자(26,000,000*4.6%*30/365)(10/21~11/20)</t>
  </si>
  <si>
    <t>기업은행 정기예금(원주019) 50억 중도해지시 이자수익</t>
  </si>
  <si>
    <t>국민은행 외화정기예금 $1,000,000 (3개월) 만기시 이자수익</t>
  </si>
  <si>
    <t>보통예금(KB증권181) RP 이자수익(2025.11.13~2025.12.15)</t>
  </si>
  <si>
    <t>11월 제조사업부 차장 신승철 대여금이자(30,000,000*4.6%*40/365)(11/21~12/31)</t>
  </si>
  <si>
    <t>11월 제조사업부 차장 이기혁 대여금이자(30,000,000*4.6%*40/365)(11/21~12/31)</t>
  </si>
  <si>
    <t>11월 연구소 전임연구원 천승범 대여금이자(26,000,000*4.6%*40/365)(11/21~12/31)</t>
  </si>
  <si>
    <t>보통예금(신한329) 이자수익</t>
  </si>
  <si>
    <t>외화예금(기업MMDA)달러이자수익($29,978.46)</t>
  </si>
  <si>
    <t>외화예금(기업217)달러이자수익($91.42)</t>
  </si>
  <si>
    <t>외화예금(기업217)엔화이자수익(JPY54)</t>
  </si>
  <si>
    <t>외화예금(기업217)유로이자수익(EUR4.16)</t>
  </si>
  <si>
    <t>2025년 하반기 서울사무소 이자수익</t>
  </si>
  <si>
    <t>2025년 4분기 결산분개 - 미수수익 계상</t>
  </si>
  <si>
    <t>2025년 4분기 결산분개 - 미수수익 계상(국채, 2.625%)</t>
  </si>
  <si>
    <t>2025년 4분기 결산분개 - 미수수익 계상(20억, 전환사채)</t>
  </si>
  <si>
    <t>2025년 4분기 결산분개 - 미수수익 계상(RP, 2.10%)</t>
  </si>
  <si>
    <t>12월 이자수익-문막농협 동화점</t>
  </si>
  <si>
    <t>2025년 4분기 결산분개 - 리스 건물 인식</t>
  </si>
  <si>
    <t>2025년 4분기 결산분개 - 리스 매출</t>
  </si>
  <si>
    <t>외화예금이자</t>
  </si>
  <si>
    <t>원화예금이자</t>
  </si>
  <si>
    <t>원화MMDA</t>
  </si>
  <si>
    <t>26년도예상</t>
  </si>
  <si>
    <t>원금</t>
  </si>
  <si>
    <t>예상이율</t>
  </si>
  <si>
    <t>2025년이율</t>
  </si>
  <si>
    <t>25년대비차이</t>
  </si>
  <si>
    <t>20억</t>
  </si>
  <si>
    <t>원화정기예금</t>
  </si>
  <si>
    <t>463억</t>
  </si>
  <si>
    <t>560억</t>
  </si>
  <si>
    <t>12백만불</t>
  </si>
  <si>
    <t>환율 1,400</t>
  </si>
  <si>
    <t>50억(평잔)</t>
  </si>
  <si>
    <t>KB국채</t>
  </si>
  <si>
    <t>100억</t>
  </si>
  <si>
    <t>리스이자</t>
  </si>
  <si>
    <t>항목</t>
  </si>
  <si>
    <t>2025년도</t>
  </si>
  <si>
    <t>금리</t>
  </si>
  <si>
    <t>2026년도 예상이자</t>
  </si>
  <si>
    <t>예상금리</t>
  </si>
  <si>
    <t>26년 비고</t>
  </si>
  <si>
    <t>25년 비고</t>
  </si>
  <si>
    <t>12만불 환율1,420</t>
  </si>
  <si>
    <t>10만불 환율1,422</t>
  </si>
  <si>
    <t>26년예금 500억</t>
  </si>
  <si>
    <t>25년예금 560억</t>
  </si>
  <si>
    <t>평잔 60억</t>
  </si>
  <si>
    <t>평잔 43억</t>
  </si>
  <si>
    <t>25년4월24일</t>
  </si>
  <si>
    <t>25년 8월가입</t>
  </si>
  <si>
    <t>대여금 1.3억</t>
  </si>
  <si>
    <t>리스(결산분개)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</si>
</sst>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[$$-409]* #,##0.00_ ;_-[$$-409]* \-#,##0.00\ ;_-[$$-409]* &quot;-&quot;??_ ;_-@_ "/>
    <numFmt numFmtId="178" formatCode="_-[$€-2]\ * #,##0.00_-;\-[$€-2]\ * #,##0.00_-;_-[$€-2]\ * &quot;-&quot;??_-;_-@_-"/>
    <numFmt numFmtId="179" formatCode="_-[$¥-411]* #,##0.00_-;\-[$¥-411]* #,##0.00_-;_-[$¥-411]* &quot;-&quot;??_-;_-@_-"/>
    <numFmt numFmtId="180" formatCode="#,##0.00_);[Red]\(#,##0.00\)"/>
    <numFmt numFmtId="181" formatCode="0.00_ "/>
    <numFmt numFmtId="182" formatCode="#,##0.00;[Red]#,##0.00"/>
    <numFmt numFmtId="183" formatCode="[$$]#,##0.00_);[Red]\([$$]#,##0.00\)"/>
    <numFmt numFmtId="184" formatCode="[$€-2]\ #,##0.00_);[Red]\([$€-2]\ #,##0.00\)"/>
    <numFmt numFmtId="185" formatCode="[$€-2]\ #,##0.00;[Red][$€-2]\ #,##0.00"/>
    <numFmt numFmtId="186" formatCode="[$¥-411]#,##0.00_);[Red]\([$¥-411]#,##0.00\)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8"/>
      <name val="맑은 고딕"/>
      <family val="2"/>
      <charset val="129"/>
      <scheme val="minor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4E7E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3B051"/>
        <bgColor rgb="FF000000"/>
      </patternFill>
    </fill>
    <fill>
      <patternFill patternType="solid">
        <fgColor rgb="FFACFAB8"/>
        <bgColor rgb="FF000000"/>
      </patternFill>
    </fill>
    <fill>
      <patternFill patternType="solid">
        <fgColor theme="0" tint="-0.24994659260841701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3">
      <alignment vertical="center"/>
    </xf>
    <xf numFmtId="0" fontId="4" fillId="0" borderId="1" xfId="3" applyFont="1" applyBorder="1" applyAlignment="1">
      <alignment horizontal="right" vertical="center"/>
    </xf>
    <xf numFmtId="49" fontId="4" fillId="0" borderId="1" xfId="3" applyNumberFormat="1" applyFont="1" applyBorder="1" applyAlignment="1">
      <alignment horizontal="center" vertical="center"/>
    </xf>
    <xf numFmtId="49" fontId="4" fillId="0" borderId="1" xfId="3" applyNumberFormat="1" applyFont="1" applyBorder="1" applyAlignment="1">
      <alignment horizontal="left" vertical="center"/>
    </xf>
    <xf numFmtId="0" fontId="5" fillId="2" borderId="2" xfId="3" applyFont="1" applyFill="1" applyBorder="1" applyAlignment="1">
      <alignment horizontal="center" vertical="center" wrapText="1"/>
    </xf>
    <xf numFmtId="0" fontId="7" fillId="0" borderId="0" xfId="3" applyFont="1">
      <alignment vertical="center"/>
    </xf>
    <xf numFmtId="10" fontId="2" fillId="0" borderId="0" xfId="2" applyNumberFormat="1" applyFo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top"/>
    </xf>
    <xf numFmtId="10" fontId="0" fillId="0" borderId="4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176" fontId="0" fillId="0" borderId="5" xfId="2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0" fontId="6" fillId="0" borderId="5" xfId="2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 indent="3"/>
    </xf>
    <xf numFmtId="41" fontId="0" fillId="0" borderId="0" xfId="1" applyFont="1" applyBorder="1">
      <alignment vertical="center"/>
    </xf>
    <xf numFmtId="9" fontId="0" fillId="0" borderId="0" xfId="2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41" fontId="0" fillId="0" borderId="3" xfId="1" applyFont="1" applyBorder="1">
      <alignment vertical="center"/>
    </xf>
    <xf numFmtId="41" fontId="0" fillId="0" borderId="5" xfId="1" applyFont="1" applyBorder="1">
      <alignment vertical="center"/>
    </xf>
    <xf numFmtId="10" fontId="0" fillId="0" borderId="3" xfId="2" applyNumberFormat="1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6" xfId="0" applyFont="1" applyFill="1" applyBorder="1">
      <alignment vertical="center"/>
    </xf>
    <xf numFmtId="41" fontId="0" fillId="4" borderId="3" xfId="1" applyFont="1" applyFill="1" applyBorder="1">
      <alignment vertical="center"/>
    </xf>
    <xf numFmtId="41" fontId="0" fillId="4" borderId="4" xfId="1" applyFont="1" applyFill="1" applyBorder="1">
      <alignment vertical="center"/>
    </xf>
    <xf numFmtId="9" fontId="0" fillId="0" borderId="4" xfId="2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0" fontId="8" fillId="0" borderId="5" xfId="2" applyNumberFormat="1" applyFont="1" applyBorder="1" applyAlignment="1">
      <alignment horizontal="center" vertical="center"/>
    </xf>
    <xf numFmtId="43" fontId="0" fillId="0" borderId="0" xfId="0" applyNumberFormat="1">
      <alignment vertical="center"/>
    </xf>
    <xf numFmtId="41" fontId="0" fillId="0" borderId="9" xfId="1" applyFont="1" applyBorder="1">
      <alignment vertical="center"/>
    </xf>
    <xf numFmtId="0" fontId="0" fillId="0" borderId="10" xfId="0" applyBorder="1">
      <alignment vertical="center"/>
    </xf>
    <xf numFmtId="177" fontId="0" fillId="0" borderId="11" xfId="0" applyNumberFormat="1" applyBorder="1">
      <alignment vertical="center"/>
    </xf>
    <xf numFmtId="178" fontId="0" fillId="0" borderId="11" xfId="0" applyNumberFormat="1" applyBorder="1">
      <alignment vertical="center"/>
    </xf>
    <xf numFmtId="4" fontId="0" fillId="0" borderId="0" xfId="0" applyNumberFormat="1">
      <alignment vertical="center"/>
    </xf>
    <xf numFmtId="0" fontId="10" fillId="0" borderId="0" xfId="0" applyFont="1">
      <alignment vertical="center"/>
    </xf>
    <xf numFmtId="4" fontId="10" fillId="0" borderId="0" xfId="0" applyNumberFormat="1" applyFont="1">
      <alignment vertical="center"/>
    </xf>
    <xf numFmtId="0" fontId="11" fillId="5" borderId="12" xfId="0" applyFont="1" applyFill="1" applyBorder="1" applyAlignment="1">
      <alignment vertical="center" wrapText="1"/>
    </xf>
    <xf numFmtId="0" fontId="11" fillId="5" borderId="13" xfId="0" applyFont="1" applyFill="1" applyBorder="1" applyAlignment="1">
      <alignment vertical="center" wrapText="1"/>
    </xf>
    <xf numFmtId="0" fontId="12" fillId="0" borderId="15" xfId="0" applyFont="1" applyBorder="1">
      <alignment vertical="center"/>
    </xf>
    <xf numFmtId="3" fontId="12" fillId="0" borderId="15" xfId="0" applyNumberFormat="1" applyFont="1" applyBorder="1">
      <alignment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6" borderId="14" xfId="0" applyFont="1" applyFill="1" applyBorder="1">
      <alignment vertical="center"/>
    </xf>
    <xf numFmtId="0" fontId="12" fillId="6" borderId="15" xfId="0" applyFont="1" applyFill="1" applyBorder="1">
      <alignment vertical="center"/>
    </xf>
    <xf numFmtId="3" fontId="12" fillId="6" borderId="15" xfId="0" applyNumberFormat="1" applyFont="1" applyFill="1" applyBorder="1">
      <alignment vertical="center"/>
    </xf>
    <xf numFmtId="14" fontId="12" fillId="0" borderId="14" xfId="0" applyNumberFormat="1" applyFont="1" applyBorder="1">
      <alignment vertical="center"/>
    </xf>
    <xf numFmtId="41" fontId="0" fillId="0" borderId="0" xfId="0" applyNumberFormat="1">
      <alignment vertical="center"/>
    </xf>
    <xf numFmtId="0" fontId="13" fillId="0" borderId="0" xfId="0" applyFont="1">
      <alignment vertical="center"/>
    </xf>
    <xf numFmtId="41" fontId="13" fillId="0" borderId="0" xfId="0" applyNumberFormat="1" applyFont="1">
      <alignment vertical="center"/>
    </xf>
    <xf numFmtId="10" fontId="13" fillId="0" borderId="0" xfId="0" applyNumberFormat="1" applyFont="1">
      <alignment vertical="center"/>
    </xf>
    <xf numFmtId="41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0" fontId="0" fillId="0" borderId="0" xfId="0" applyNumberFormat="1">
      <alignment vertical="center"/>
    </xf>
    <xf numFmtId="0" fontId="0" fillId="0" borderId="16" xfId="0" applyBorder="1">
      <alignment vertical="center"/>
    </xf>
    <xf numFmtId="0" fontId="13" fillId="0" borderId="16" xfId="0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3" fontId="12" fillId="0" borderId="16" xfId="0" applyNumberFormat="1" applyFont="1" applyBorder="1">
      <alignment vertical="center"/>
    </xf>
    <xf numFmtId="10" fontId="12" fillId="0" borderId="16" xfId="0" applyNumberFormat="1" applyFont="1" applyBorder="1">
      <alignment vertical="center"/>
    </xf>
    <xf numFmtId="41" fontId="12" fillId="0" borderId="16" xfId="0" applyNumberFormat="1" applyFont="1" applyBorder="1">
      <alignment vertical="center"/>
    </xf>
    <xf numFmtId="41" fontId="0" fillId="0" borderId="9" xfId="0" applyNumberFormat="1" applyBorder="1">
      <alignment vertical="center"/>
    </xf>
    <xf numFmtId="180" fontId="0" fillId="0" borderId="0" xfId="0" applyNumberFormat="1">
      <alignment vertical="center"/>
    </xf>
    <xf numFmtId="181" fontId="0" fillId="0" borderId="10" xfId="0" applyNumberFormat="1" applyBorder="1">
      <alignment vertical="center"/>
    </xf>
    <xf numFmtId="182" fontId="0" fillId="0" borderId="0" xfId="0" applyNumberFormat="1">
      <alignment vertical="center"/>
    </xf>
    <xf numFmtId="184" fontId="0" fillId="0" borderId="0" xfId="0" applyNumberFormat="1">
      <alignment vertical="center"/>
    </xf>
    <xf numFmtId="185" fontId="0" fillId="0" borderId="11" xfId="0" applyNumberFormat="1" applyBorder="1">
      <alignment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0" fillId="0" borderId="17" xfId="1" applyFont="1" applyBorder="1">
      <alignment vertical="center"/>
    </xf>
    <xf numFmtId="0" fontId="0" fillId="0" borderId="18" xfId="0" applyBorder="1">
      <alignment vertical="center"/>
    </xf>
    <xf numFmtId="179" fontId="0" fillId="0" borderId="19" xfId="0" applyNumberFormat="1" applyBorder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41" fontId="0" fillId="0" borderId="20" xfId="0" applyNumberFormat="1" applyBorder="1">
      <alignment vertical="center"/>
    </xf>
    <xf numFmtId="181" fontId="0" fillId="0" borderId="21" xfId="0" applyNumberFormat="1" applyBorder="1">
      <alignment vertical="center"/>
    </xf>
    <xf numFmtId="183" fontId="0" fillId="0" borderId="22" xfId="0" applyNumberFormat="1" applyBorder="1">
      <alignment vertical="center"/>
    </xf>
    <xf numFmtId="41" fontId="0" fillId="0" borderId="17" xfId="0" applyNumberFormat="1" applyBorder="1">
      <alignment vertical="center"/>
    </xf>
    <xf numFmtId="181" fontId="0" fillId="0" borderId="18" xfId="0" applyNumberFormat="1" applyBorder="1">
      <alignment vertical="center"/>
    </xf>
    <xf numFmtId="186" fontId="0" fillId="0" borderId="19" xfId="0" applyNumberFormat="1" applyBorder="1">
      <alignment vertical="center"/>
    </xf>
    <xf numFmtId="41" fontId="0" fillId="0" borderId="23" xfId="1" applyFont="1" applyBorder="1">
      <alignment vertical="center"/>
    </xf>
    <xf numFmtId="177" fontId="0" fillId="0" borderId="24" xfId="0" applyNumberFormat="1" applyBorder="1">
      <alignment vertical="center"/>
    </xf>
    <xf numFmtId="41" fontId="0" fillId="0" borderId="24" xfId="1" applyFont="1" applyBorder="1">
      <alignment vertical="center"/>
    </xf>
    <xf numFmtId="41" fontId="0" fillId="0" borderId="25" xfId="1" applyFont="1" applyBorder="1">
      <alignment vertical="center"/>
    </xf>
    <xf numFmtId="41" fontId="14" fillId="0" borderId="26" xfId="0" applyNumberFormat="1" applyFont="1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41" fontId="6" fillId="0" borderId="26" xfId="0" applyNumberFormat="1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2" xfId="3" xr:uid="{CA0B890E-F017-4D0D-84D9-30006236FBBD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414618</xdr:colOff>
      <xdr:row>8</xdr:row>
      <xdr:rowOff>134471</xdr:rowOff>
    </xdr:from>
    <xdr:to>
      <xdr:col>7</xdr:col>
      <xdr:colOff>1042148</xdr:colOff>
      <xdr:row>9</xdr:row>
      <xdr:rowOff>190500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C39592DE-B62E-2F63-7BF2-06C7F46048A6}"/>
            </a:ext>
          </a:extLst>
        </xdr:cNvPr>
        <xdr:cNvSpPr/>
      </xdr:nvSpPr>
      <xdr:spPr>
        <a:xfrm>
          <a:off x="10421471" y="2095500"/>
          <a:ext cx="627530" cy="268941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E8EF2F-DD2C-468A-BE70-4BA4A7AAC5D4}" autoFormatId="16" applyNumberFormats="0" applyBorderFormats="0" applyFontFormats="0" applyPatternFormats="0" applyAlignmentFormats="0" applyWidthHeightFormats="0">
  <queryTableRefresh nextId="4">
    <queryTableFields count="3">
      <queryTableField id="1" name="통화명" tableColumnId="1"/>
      <queryTableField id="2" name="환율(원)" tableColumnId="2"/>
      <queryTableField id="3" name="전일대비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F96A3F3-1B0B-4FF9-8ABD-4B501C0AC1C8}" autoFormatId="16" applyNumberFormats="0" applyBorderFormats="0" applyFontFormats="0" applyPatternFormats="0" applyAlignmentFormats="0" applyWidthHeightFormats="0">
  <queryTableRefresh nextId="6">
    <queryTableFields count="5">
      <queryTableField id="1" name="통화명" tableColumnId="1"/>
      <queryTableField id="2" name="환율(원)" tableColumnId="2"/>
      <queryTableField id="3" name="전일대비" tableColumnId="3"/>
      <queryTableField id="4" name="Cross Rate" tableColumnId="4"/>
      <queryTableField id="5" name="Cross Rate_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59548-739C-41BB-8EB9-6CFCED3446CE}" name="매매기준율표_통화명_환율_원__전일대비" displayName="매매기준율표_통화명_환율_원__전일대비" ref="A1:C4" tableType="queryTable" totalsRowShown="0">
  <autoFilter ref="A1:C4" xr:uid="{E9E59548-739C-41BB-8EB9-6CFCED3446CE}"/>
  <tableColumns count="3">
    <tableColumn id="1" xr3:uid="{CDF46751-1D2A-4790-B631-55FD427A1FD8}" uniqueName="1" name="통화명" queryTableFieldId="1" dataDxfId="2"/>
    <tableColumn id="2" xr3:uid="{966454B1-3BE4-42FE-8660-830AAACBCCBD}" uniqueName="2" name="환율(원)" queryTableFieldId="2"/>
    <tableColumn id="3" xr3:uid="{A0672371-0674-4C02-8FFF-C4ECB508FB89}" uniqueName="3" name="전일대비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F2DC6-FE2D-4630-A21C-19264D7B1956}" name="재정된_매매기준율" displayName="재정된_매매기준율" ref="A1:E56" tableType="queryTable" totalsRowShown="0">
  <autoFilter ref="A1:E56" xr:uid="{1F4F2DC6-FE2D-4630-A21C-19264D7B1956}"/>
  <tableColumns count="5">
    <tableColumn id="1" xr3:uid="{388830C1-A9FB-4735-9433-7FEEEC223A40}" uniqueName="1" name="통화명" queryTableFieldId="1" dataDxfId="1"/>
    <tableColumn id="2" xr3:uid="{6C99D78F-2240-4105-86E3-44ABEE4577A6}" uniqueName="2" name="환율(원)" queryTableFieldId="2"/>
    <tableColumn id="3" xr3:uid="{FA66DA05-83DB-4DEA-B2FB-6FE30BCEBFEA}" uniqueName="3" name="전일대비" queryTableFieldId="3"/>
    <tableColumn id="4" xr3:uid="{2A7EB191-89B2-4118-97C6-99D5D8E6A495}" uniqueName="4" name="Cross Rate" queryTableFieldId="4"/>
    <tableColumn id="5" xr3:uid="{13F72DA1-23E9-4CD5-864D-CD0854C35965}" uniqueName="5" name="Cross Rate_1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27D6-8AF3-4617-9F28-89E426689B7B}">
  <dimension ref="B1:O27"/>
  <sheetViews>
    <sheetView showGridLines="0" tabSelected="1" zoomScale="85" zoomScaleNormal="85" workbookViewId="0">
      <selection activeCell="Y19" sqref="Y19"/>
    </sheetView>
  </sheetViews>
  <sheetFormatPr defaultRowHeight="16.5" x14ac:dyDescent="0.3"/>
  <cols>
    <col min="1" max="1" width="2.375" customWidth="1"/>
    <col min="2" max="2" width="30.75" customWidth="1"/>
    <col min="3" max="4" width="24.125" customWidth="1"/>
    <col min="5" max="5" width="21" customWidth="1"/>
    <col min="7" max="10" width="20" customWidth="1"/>
    <col min="12" max="12" width="14.25" customWidth="1"/>
    <col min="13" max="13" width="13.5" bestFit="1" customWidth="1"/>
  </cols>
  <sheetData>
    <row r="1" spans="2:15" ht="17.25" thickBot="1" x14ac:dyDescent="0.35"/>
    <row r="2" spans="2:15" x14ac:dyDescent="0.3">
      <c r="B2" s="24" t="s">
        <v>1</v>
      </c>
      <c r="C2" s="25" t="s">
        <v>2</v>
      </c>
      <c r="D2" s="25" t="s">
        <v>3</v>
      </c>
      <c r="E2" s="26" t="s">
        <v>4</v>
      </c>
    </row>
    <row r="3" spans="2:15" ht="33.75" customHeight="1" thickBot="1" x14ac:dyDescent="0.35">
      <c r="B3" s="28">
        <v>4300000000</v>
      </c>
      <c r="C3" s="29">
        <v>2300000000</v>
      </c>
      <c r="D3" s="30">
        <v>0.5</v>
      </c>
      <c r="E3" s="22">
        <f>SUM(B3:C3)*D3</f>
        <v>3300000000</v>
      </c>
      <c r="G3" s="74" t="s">
        <v>5</v>
      </c>
    </row>
    <row r="4" spans="2:15" ht="17.25" thickBot="1" x14ac:dyDescent="0.35">
      <c r="B4" s="18"/>
      <c r="C4" s="18"/>
      <c r="D4" s="19"/>
      <c r="E4" s="18"/>
      <c r="G4" s="78" t="s">
        <v>6</v>
      </c>
      <c r="H4" s="79" t="s">
        <v>7</v>
      </c>
      <c r="I4" s="80" t="s">
        <v>8</v>
      </c>
    </row>
    <row r="5" spans="2:15" x14ac:dyDescent="0.3">
      <c r="B5" s="24" t="s">
        <v>9</v>
      </c>
      <c r="C5" s="26" t="s">
        <v>10</v>
      </c>
      <c r="G5" s="81">
        <v>24006005288</v>
      </c>
      <c r="H5" s="82">
        <f>G5/I5</f>
        <v>1472.3833662776638</v>
      </c>
      <c r="I5" s="83">
        <v>16304181.26</v>
      </c>
    </row>
    <row r="6" spans="2:15" x14ac:dyDescent="0.3">
      <c r="B6" s="23">
        <f>E18</f>
        <v>0.14642518905195923</v>
      </c>
      <c r="C6" s="22">
        <f>E3/B6</f>
        <v>22537105954.010342</v>
      </c>
      <c r="D6" s="34">
        <f>C6/1450</f>
        <v>15542831.692420926</v>
      </c>
      <c r="G6" s="65">
        <v>4899884732</v>
      </c>
      <c r="H6" s="67">
        <f>G6/I6</f>
        <v>1691.027561125976</v>
      </c>
      <c r="I6" s="70">
        <v>2897578.28</v>
      </c>
    </row>
    <row r="7" spans="2:15" ht="17.25" thickBot="1" x14ac:dyDescent="0.35">
      <c r="B7" s="20"/>
      <c r="C7" s="18"/>
      <c r="E7" s="68"/>
      <c r="G7" s="84">
        <v>178265575</v>
      </c>
      <c r="H7" s="85">
        <f>G7/I7</f>
        <v>9.1762786973015551</v>
      </c>
      <c r="I7" s="86">
        <v>19426783</v>
      </c>
    </row>
    <row r="8" spans="2:15" ht="17.25" thickTop="1" x14ac:dyDescent="0.3">
      <c r="B8" s="24" t="s">
        <v>11</v>
      </c>
      <c r="C8" s="26" t="s">
        <v>12</v>
      </c>
      <c r="G8" s="91">
        <f>SUM(G5:G7)</f>
        <v>29084155595</v>
      </c>
      <c r="H8" s="92"/>
      <c r="I8" s="93"/>
    </row>
    <row r="9" spans="2:15" x14ac:dyDescent="0.3">
      <c r="B9" s="21">
        <v>90000000000</v>
      </c>
      <c r="C9" s="33">
        <f>+C6/B9</f>
        <v>0.2504122883778927</v>
      </c>
    </row>
    <row r="11" spans="2:15" ht="17.25" thickBot="1" x14ac:dyDescent="0.35">
      <c r="B11" s="9" t="s">
        <v>13</v>
      </c>
      <c r="G11" s="74" t="s">
        <v>14</v>
      </c>
    </row>
    <row r="12" spans="2:15" x14ac:dyDescent="0.3">
      <c r="B12" s="27" t="s">
        <v>15</v>
      </c>
      <c r="C12" s="25" t="s">
        <v>16</v>
      </c>
      <c r="D12" s="25" t="s">
        <v>17</v>
      </c>
      <c r="E12" s="26" t="s">
        <v>18</v>
      </c>
      <c r="G12" s="24" t="s">
        <v>6</v>
      </c>
      <c r="H12" s="25" t="s">
        <v>7</v>
      </c>
      <c r="I12" s="26" t="s">
        <v>19</v>
      </c>
      <c r="L12" t="s">
        <v>20</v>
      </c>
      <c r="M12" s="39">
        <v>13072095.58</v>
      </c>
      <c r="O12" s="40" t="s">
        <v>21</v>
      </c>
    </row>
    <row r="13" spans="2:15" x14ac:dyDescent="0.3">
      <c r="B13" s="17" t="s">
        <v>0</v>
      </c>
      <c r="C13" s="10">
        <f>데이터!E2</f>
        <v>8.2458050122145257E-2</v>
      </c>
      <c r="D13" s="11">
        <v>0.8</v>
      </c>
      <c r="E13" s="12">
        <f>+C13*D13</f>
        <v>6.5966440097716211E-2</v>
      </c>
      <c r="G13" s="35">
        <f>+$C$6*D13</f>
        <v>18029684763.208275</v>
      </c>
      <c r="H13" s="36">
        <f>'매매기준율표(통화명_환율(원)_전일대비)'!B2</f>
        <v>1503.5</v>
      </c>
      <c r="I13" s="37">
        <f>G13/H13</f>
        <v>11991808.954578167</v>
      </c>
      <c r="L13" t="s">
        <v>22</v>
      </c>
      <c r="M13" s="41">
        <v>2460838.7799999998</v>
      </c>
    </row>
    <row r="14" spans="2:15" x14ac:dyDescent="0.3">
      <c r="B14" s="17" t="s">
        <v>23</v>
      </c>
      <c r="C14" s="10">
        <f>데이터!E3</f>
        <v>0.11443670443906503</v>
      </c>
      <c r="D14" s="11">
        <v>0.18</v>
      </c>
      <c r="E14" s="12">
        <f>+C14*D14</f>
        <v>2.0598606799031704E-2</v>
      </c>
      <c r="G14" s="35">
        <f>+$C$6*D14</f>
        <v>4056679071.7218614</v>
      </c>
      <c r="H14" s="36">
        <f>'재정된 매매기준율'!B3</f>
        <v>1728.48</v>
      </c>
      <c r="I14" s="38">
        <f>G14/H14</f>
        <v>2346963.2693012711</v>
      </c>
      <c r="L14" t="s">
        <v>24</v>
      </c>
      <c r="M14" s="41">
        <v>20426738</v>
      </c>
    </row>
    <row r="15" spans="2:15" ht="17.25" thickBot="1" x14ac:dyDescent="0.35">
      <c r="B15" s="17" t="s">
        <v>25</v>
      </c>
      <c r="C15" s="10">
        <f>데이터!E4</f>
        <v>0.10887459613106608</v>
      </c>
      <c r="D15" s="11">
        <v>0.02</v>
      </c>
      <c r="E15" s="12">
        <f>+C15*D15</f>
        <v>2.1774919226213215E-3</v>
      </c>
      <c r="G15" s="75">
        <f>+$C$6*D15</f>
        <v>450742119.08020687</v>
      </c>
      <c r="H15" s="76">
        <f>'재정된 매매기준율'!B2/100</f>
        <v>9.4977999999999998</v>
      </c>
      <c r="I15" s="77">
        <f>G15/H15</f>
        <v>47457529.015162133</v>
      </c>
    </row>
    <row r="16" spans="2:15" ht="17.25" thickTop="1" x14ac:dyDescent="0.3">
      <c r="B16" s="17" t="s">
        <v>26</v>
      </c>
      <c r="C16" s="10">
        <f>데이터!E5</f>
        <v>0.13025664616351257</v>
      </c>
      <c r="D16" s="13">
        <v>0</v>
      </c>
      <c r="E16" s="12">
        <f>+C16*D16</f>
        <v>0</v>
      </c>
      <c r="G16" s="94">
        <f>SUM(G13:G15)</f>
        <v>22537105954.010345</v>
      </c>
      <c r="H16" s="92"/>
      <c r="I16" s="93"/>
    </row>
    <row r="17" spans="2:10" ht="17.25" thickBot="1" x14ac:dyDescent="0.35">
      <c r="B17" s="95" t="s">
        <v>27</v>
      </c>
      <c r="C17" s="96"/>
      <c r="D17" s="96"/>
      <c r="E17" s="15">
        <f>SUM(E13:E16)</f>
        <v>8.8742538819369235E-2</v>
      </c>
    </row>
    <row r="18" spans="2:10" x14ac:dyDescent="0.3">
      <c r="B18" s="95" t="s">
        <v>28</v>
      </c>
      <c r="C18" s="97"/>
      <c r="D18" s="14" t="s">
        <v>29</v>
      </c>
      <c r="E18" s="16">
        <f>IF($D$18="보수적(99%신뢰도)",$E$17*2.33,$E$17*1.65)</f>
        <v>0.14642518905195923</v>
      </c>
      <c r="G18" s="71" t="s">
        <v>30</v>
      </c>
      <c r="H18" s="72" t="s">
        <v>31</v>
      </c>
      <c r="I18" s="72" t="s">
        <v>32</v>
      </c>
      <c r="J18" s="73" t="s">
        <v>33</v>
      </c>
    </row>
    <row r="19" spans="2:10" ht="17.25" thickBot="1" x14ac:dyDescent="0.35">
      <c r="G19" s="87">
        <f>+G5-G13</f>
        <v>5976320524.7917252</v>
      </c>
      <c r="H19" s="88">
        <f>+G19/H13</f>
        <v>3974938.825933971</v>
      </c>
      <c r="I19" s="89">
        <v>1510</v>
      </c>
      <c r="J19" s="90">
        <f>(I19-H5)*H19</f>
        <v>149523817.88385147</v>
      </c>
    </row>
    <row r="20" spans="2:10" ht="17.25" thickTop="1" x14ac:dyDescent="0.3">
      <c r="B20" s="32" t="s">
        <v>34</v>
      </c>
    </row>
    <row r="21" spans="2:10" x14ac:dyDescent="0.3">
      <c r="B21" s="8" t="s">
        <v>35</v>
      </c>
      <c r="F21" s="66"/>
    </row>
    <row r="22" spans="2:10" x14ac:dyDescent="0.3">
      <c r="G22" s="69"/>
    </row>
    <row r="23" spans="2:10" x14ac:dyDescent="0.3">
      <c r="B23" s="31" t="s">
        <v>36</v>
      </c>
    </row>
    <row r="25" spans="2:10" x14ac:dyDescent="0.3">
      <c r="B25" s="32" t="s">
        <v>37</v>
      </c>
    </row>
    <row r="26" spans="2:10" x14ac:dyDescent="0.3">
      <c r="B26" s="8" t="s">
        <v>38</v>
      </c>
    </row>
    <row r="27" spans="2:10" x14ac:dyDescent="0.3">
      <c r="B27" s="8" t="s">
        <v>39</v>
      </c>
    </row>
  </sheetData>
  <mergeCells count="2">
    <mergeCell ref="B17:D17"/>
    <mergeCell ref="B18:C18"/>
  </mergeCells>
  <phoneticPr fontId="3" type="noConversion"/>
  <dataValidations disablePrompts="1" count="1">
    <dataValidation type="list" allowBlank="1" showInputMessage="1" showErrorMessage="1" sqref="D18" xr:uid="{90BBDCF3-7603-469D-A6F1-310413AC8BB1}">
      <formula1>"보수적(99%신뢰도), 일반적(95%신뢰도)"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3270-84C0-40F4-8A0A-ED746F85F46E}">
  <dimension ref="A1:IR60"/>
  <sheetViews>
    <sheetView workbookViewId="0">
      <selection activeCell="F8" sqref="F8"/>
    </sheetView>
  </sheetViews>
  <sheetFormatPr defaultRowHeight="12.75" x14ac:dyDescent="0.3"/>
  <cols>
    <col min="1" max="3" width="9" style="1"/>
    <col min="4" max="4" width="15.125" style="1" customWidth="1"/>
    <col min="5" max="5" width="14.25" style="1" customWidth="1"/>
    <col min="6" max="16384" width="9" style="1"/>
  </cols>
  <sheetData>
    <row r="1" spans="1:252" x14ac:dyDescent="0.3">
      <c r="A1" s="1" t="s">
        <v>40</v>
      </c>
      <c r="B1" s="1" t="s">
        <v>41</v>
      </c>
    </row>
    <row r="2" spans="1:252" ht="13.5" x14ac:dyDescent="0.3">
      <c r="D2" s="6" t="s">
        <v>42</v>
      </c>
      <c r="E2" s="7">
        <f>F2*(SQRT(COUNTA(F2:IR2)))</f>
        <v>8.2458050122145257E-2</v>
      </c>
      <c r="F2" s="7">
        <f>_xlfn.STDEV.S(G2:IR2)</f>
        <v>5.2466800877413993E-3</v>
      </c>
      <c r="G2" s="7">
        <f>(G8-F8)/F8</f>
        <v>1.1149346180316618E-2</v>
      </c>
      <c r="H2" s="7">
        <f t="shared" ref="H2:BS2" si="0">(H8-G8)/G8</f>
        <v>-5.7173972229785531E-3</v>
      </c>
      <c r="I2" s="7">
        <f t="shared" si="0"/>
        <v>-7.3932092004380849E-3</v>
      </c>
      <c r="J2" s="7">
        <f t="shared" si="0"/>
        <v>-2.0000000000000629E-3</v>
      </c>
      <c r="K2" s="7">
        <f t="shared" si="0"/>
        <v>2.0731117407240822E-4</v>
      </c>
      <c r="L2" s="7">
        <f t="shared" si="0"/>
        <v>4.1453641011468837E-3</v>
      </c>
      <c r="M2" s="7">
        <f t="shared" si="0"/>
        <v>6.8804183294281717E-5</v>
      </c>
      <c r="N2" s="7">
        <f t="shared" si="0"/>
        <v>-6.1919504643969108E-4</v>
      </c>
      <c r="O2" s="7">
        <f t="shared" si="0"/>
        <v>-1.4456836018173682E-3</v>
      </c>
      <c r="P2" s="7">
        <f t="shared" si="0"/>
        <v>-4.9638055842813134E-3</v>
      </c>
      <c r="Q2" s="7">
        <f t="shared" si="0"/>
        <v>-1.5242846255110133E-3</v>
      </c>
      <c r="R2" s="7">
        <f t="shared" si="0"/>
        <v>1.94296023870667E-3</v>
      </c>
      <c r="S2" s="7">
        <f t="shared" si="0"/>
        <v>-2.2854768335758583E-3</v>
      </c>
      <c r="T2" s="7">
        <f t="shared" si="0"/>
        <v>-8.3298625572665434E-4</v>
      </c>
      <c r="U2" s="7">
        <f t="shared" si="0"/>
        <v>-3.682089759622191E-3</v>
      </c>
      <c r="V2" s="7">
        <f t="shared" si="0"/>
        <v>-3.4167770727284458E-3</v>
      </c>
      <c r="W2" s="7">
        <f t="shared" si="0"/>
        <v>1.0495382031905961E-3</v>
      </c>
      <c r="X2" s="7">
        <f t="shared" si="0"/>
        <v>7.6885440693360522E-4</v>
      </c>
      <c r="Y2" s="7">
        <f t="shared" si="0"/>
        <v>5.4476882246123444E-3</v>
      </c>
      <c r="Z2" s="7">
        <f t="shared" si="0"/>
        <v>1.3267574326201818E-2</v>
      </c>
      <c r="AA2" s="7">
        <f t="shared" si="0"/>
        <v>6.1698772879952252E-4</v>
      </c>
      <c r="AB2" s="7">
        <f t="shared" si="0"/>
        <v>-2.466429158673547E-3</v>
      </c>
      <c r="AC2" s="7">
        <f t="shared" si="0"/>
        <v>-9.8901098901099521E-3</v>
      </c>
      <c r="AD2" s="7">
        <f t="shared" si="0"/>
        <v>3.2602663706992547E-3</v>
      </c>
      <c r="AE2" s="7">
        <f t="shared" si="0"/>
        <v>3.5953813178455684E-3</v>
      </c>
      <c r="AF2" s="7">
        <f t="shared" si="0"/>
        <v>4.409231829142329E-3</v>
      </c>
      <c r="AG2" s="7">
        <f t="shared" si="0"/>
        <v>-4.0469167981343653E-3</v>
      </c>
      <c r="AH2" s="7">
        <f t="shared" si="0"/>
        <v>-6.8870523415915329E-5</v>
      </c>
      <c r="AI2" s="7">
        <f t="shared" si="0"/>
        <v>1.9973827398580227E-3</v>
      </c>
      <c r="AJ2" s="7">
        <f t="shared" si="0"/>
        <v>-4.6741820181467929E-3</v>
      </c>
      <c r="AK2" s="7">
        <f t="shared" si="0"/>
        <v>-6.2154696132602969E-4</v>
      </c>
      <c r="AL2" s="7">
        <f t="shared" si="0"/>
        <v>3.5933936839195948E-3</v>
      </c>
      <c r="AM2" s="7">
        <f t="shared" si="0"/>
        <v>4.7510844866763694E-3</v>
      </c>
      <c r="AN2" s="7">
        <f t="shared" si="0"/>
        <v>5.2768640350877504E-3</v>
      </c>
      <c r="AO2" s="7">
        <f t="shared" si="0"/>
        <v>0</v>
      </c>
      <c r="AP2" s="7">
        <f t="shared" si="0"/>
        <v>1.8406162655939858E-3</v>
      </c>
      <c r="AQ2" s="7">
        <f t="shared" si="0"/>
        <v>-2.925966249319512E-3</v>
      </c>
      <c r="AR2" s="7">
        <f t="shared" si="0"/>
        <v>1.023681157442162E-3</v>
      </c>
      <c r="AS2" s="7">
        <f t="shared" si="0"/>
        <v>-2.0452686119440587E-4</v>
      </c>
      <c r="AT2" s="7">
        <f t="shared" si="0"/>
        <v>2.7957722468461704E-3</v>
      </c>
      <c r="AU2" s="7">
        <f t="shared" si="0"/>
        <v>7.4799401604796448E-4</v>
      </c>
      <c r="AV2" s="7">
        <f t="shared" si="0"/>
        <v>-2.6499966025685198E-3</v>
      </c>
      <c r="AW2" s="7">
        <f t="shared" si="0"/>
        <v>-5.4503338329469578E-4</v>
      </c>
      <c r="AX2" s="7">
        <f t="shared" si="0"/>
        <v>-1.8882072256305418E-2</v>
      </c>
      <c r="AY2" s="7">
        <f t="shared" si="0"/>
        <v>1.8481206141874616E-2</v>
      </c>
      <c r="AZ2" s="7">
        <f t="shared" si="0"/>
        <v>2.933351524660587E-3</v>
      </c>
      <c r="BA2" s="7">
        <f t="shared" si="0"/>
        <v>8.6382805060536295E-3</v>
      </c>
      <c r="BB2" s="7">
        <f t="shared" si="0"/>
        <v>-1.6454245060354769E-2</v>
      </c>
      <c r="BC2" s="7">
        <f t="shared" si="0"/>
        <v>-5.2793966403839876E-3</v>
      </c>
      <c r="BD2" s="7">
        <f t="shared" si="0"/>
        <v>-1.6129032258064422E-2</v>
      </c>
      <c r="BE2" s="7">
        <f t="shared" si="0"/>
        <v>-2.8723553313718202E-3</v>
      </c>
      <c r="BF2" s="7">
        <f t="shared" si="0"/>
        <v>2.8806295229397432E-3</v>
      </c>
      <c r="BG2" s="7">
        <f t="shared" si="0"/>
        <v>-5.2543085329970571E-3</v>
      </c>
      <c r="BH2" s="7">
        <f t="shared" si="0"/>
        <v>1.1268399183040419E-3</v>
      </c>
      <c r="BI2" s="7">
        <f t="shared" si="0"/>
        <v>-1.8290538163910721E-3</v>
      </c>
      <c r="BJ2" s="7">
        <f t="shared" si="0"/>
        <v>2.6076538163364704E-3</v>
      </c>
      <c r="BK2" s="7">
        <f t="shared" si="0"/>
        <v>2.8117531280753552E-3</v>
      </c>
      <c r="BL2" s="7">
        <f t="shared" si="0"/>
        <v>2.5234824057199894E-3</v>
      </c>
      <c r="BM2" s="7">
        <f t="shared" si="0"/>
        <v>3.0764927982099449E-3</v>
      </c>
      <c r="BN2" s="7">
        <f t="shared" si="0"/>
        <v>3.2761745434267712E-3</v>
      </c>
      <c r="BO2" s="7">
        <f t="shared" si="0"/>
        <v>-5.5582574862777362E-4</v>
      </c>
      <c r="BP2" s="7">
        <f t="shared" si="0"/>
        <v>-8.0639555092109211E-3</v>
      </c>
      <c r="BQ2" s="7">
        <f t="shared" si="0"/>
        <v>-2.1024598780586018E-4</v>
      </c>
      <c r="BR2" s="7">
        <f t="shared" si="0"/>
        <v>-2.2781438384971261E-2</v>
      </c>
      <c r="BS2" s="7">
        <f t="shared" si="0"/>
        <v>1.3628864500395174E-3</v>
      </c>
      <c r="BT2" s="7">
        <f t="shared" ref="BT2:EE2" si="1">(BT8-BS8)/BS8</f>
        <v>6.8767908309454936E-3</v>
      </c>
      <c r="BU2" s="7">
        <f t="shared" si="1"/>
        <v>-3.6994877632326542E-3</v>
      </c>
      <c r="BV2" s="7">
        <f t="shared" si="1"/>
        <v>9.4972864895743747E-3</v>
      </c>
      <c r="BW2" s="7">
        <f t="shared" si="1"/>
        <v>1.4854636768762176E-3</v>
      </c>
      <c r="BX2" s="7">
        <f t="shared" si="1"/>
        <v>-1.144229410933751E-2</v>
      </c>
      <c r="BY2" s="7">
        <f t="shared" si="1"/>
        <v>-3.7867962274935373E-3</v>
      </c>
      <c r="BZ2" s="7">
        <f t="shared" si="1"/>
        <v>2.6536613354371697E-3</v>
      </c>
      <c r="CA2" s="7">
        <f t="shared" si="1"/>
        <v>-3.8626609442060735E-3</v>
      </c>
      <c r="CB2" s="7">
        <f t="shared" si="1"/>
        <v>-3.9494470774091633E-3</v>
      </c>
      <c r="CC2" s="7">
        <f t="shared" si="1"/>
        <v>-6.2720784370267598E-3</v>
      </c>
      <c r="CD2" s="7">
        <f t="shared" si="1"/>
        <v>-1.0882182240278583E-3</v>
      </c>
      <c r="CE2" s="7">
        <f t="shared" si="1"/>
        <v>-8.6426029486528361E-3</v>
      </c>
      <c r="CF2" s="7">
        <f t="shared" si="1"/>
        <v>2.4175824175823842E-3</v>
      </c>
      <c r="CG2" s="7">
        <f t="shared" si="1"/>
        <v>4.6042534531900567E-3</v>
      </c>
      <c r="CH2" s="7">
        <f t="shared" si="1"/>
        <v>4.9468936417868346E-3</v>
      </c>
      <c r="CI2" s="7">
        <f t="shared" si="1"/>
        <v>-4.1262487331692813E-3</v>
      </c>
      <c r="CJ2" s="7">
        <f t="shared" si="1"/>
        <v>8.7228320127938168E-4</v>
      </c>
      <c r="CK2" s="7">
        <f t="shared" si="1"/>
        <v>-2.2514343815819133E-3</v>
      </c>
      <c r="CL2" s="7">
        <f t="shared" si="1"/>
        <v>-1.0773038287960369E-2</v>
      </c>
      <c r="CM2" s="7">
        <f t="shared" si="1"/>
        <v>-7.3583517292059641E-5</v>
      </c>
      <c r="CN2" s="7">
        <f t="shared" si="1"/>
        <v>7.3588932224593413E-4</v>
      </c>
      <c r="CO2" s="7">
        <f t="shared" si="1"/>
        <v>6.5445988675636906E-3</v>
      </c>
      <c r="CP2" s="7">
        <f t="shared" si="1"/>
        <v>-4.3103448275861071E-3</v>
      </c>
      <c r="CQ2" s="7">
        <f t="shared" si="1"/>
        <v>2.86154523442649E-3</v>
      </c>
      <c r="CR2" s="7">
        <f t="shared" si="1"/>
        <v>-2.3412350014633053E-3</v>
      </c>
      <c r="CS2" s="7">
        <f t="shared" si="1"/>
        <v>-1.3933704898796302E-3</v>
      </c>
      <c r="CT2" s="7">
        <f t="shared" si="1"/>
        <v>8.4453256958213988E-3</v>
      </c>
      <c r="CU2" s="7">
        <f t="shared" si="1"/>
        <v>4.6606466647246313E-3</v>
      </c>
      <c r="CV2" s="7">
        <f t="shared" si="1"/>
        <v>-7.3934473760508979E-3</v>
      </c>
      <c r="CW2" s="7">
        <f t="shared" si="1"/>
        <v>9.1280852928289757E-3</v>
      </c>
      <c r="CX2" s="7">
        <f t="shared" si="1"/>
        <v>-1.2229539040451617E-2</v>
      </c>
      <c r="CY2" s="7">
        <f t="shared" si="1"/>
        <v>-3.0036630036629369E-3</v>
      </c>
      <c r="CZ2" s="7">
        <f t="shared" si="1"/>
        <v>-2.4248658975679197E-3</v>
      </c>
      <c r="DA2" s="7">
        <f t="shared" si="1"/>
        <v>-8.8391278727152189E-4</v>
      </c>
      <c r="DB2" s="7">
        <f t="shared" si="1"/>
        <v>-2.0642878207019918E-3</v>
      </c>
      <c r="DC2" s="7">
        <f t="shared" si="1"/>
        <v>-7.3877068557919631E-4</v>
      </c>
      <c r="DD2" s="7">
        <f t="shared" si="1"/>
        <v>5.0273547242349415E-3</v>
      </c>
      <c r="DE2" s="7">
        <f t="shared" si="1"/>
        <v>-9.5630425187596133E-4</v>
      </c>
      <c r="DF2" s="7">
        <f t="shared" si="1"/>
        <v>4.4915691038952483E-3</v>
      </c>
      <c r="DG2" s="7">
        <f t="shared" si="1"/>
        <v>1.7592728338952231E-3</v>
      </c>
      <c r="DH2" s="7">
        <f t="shared" si="1"/>
        <v>1.024440216595998E-3</v>
      </c>
      <c r="DI2" s="7">
        <f t="shared" si="1"/>
        <v>4.2397660818713117E-3</v>
      </c>
      <c r="DJ2" s="7">
        <f t="shared" si="1"/>
        <v>-5.8232639394377244E-4</v>
      </c>
      <c r="DK2" s="7">
        <f t="shared" si="1"/>
        <v>1.238164603059028E-3</v>
      </c>
      <c r="DL2" s="7">
        <f t="shared" si="1"/>
        <v>2.764239470429879E-3</v>
      </c>
      <c r="DM2" s="7">
        <f t="shared" si="1"/>
        <v>3.0467899891186401E-3</v>
      </c>
      <c r="DN2" s="7">
        <f t="shared" si="1"/>
        <v>3.1821797931582147E-3</v>
      </c>
      <c r="DO2" s="7">
        <f t="shared" si="1"/>
        <v>2.6674356571264116E-3</v>
      </c>
      <c r="DP2" s="7">
        <f t="shared" si="1"/>
        <v>7.9091170549333947E-4</v>
      </c>
      <c r="DQ2" s="7">
        <f t="shared" si="1"/>
        <v>-5.7475393347236289E-4</v>
      </c>
      <c r="DR2" s="7">
        <f t="shared" si="1"/>
        <v>-3.4505067931852166E-3</v>
      </c>
      <c r="DS2" s="7">
        <f t="shared" si="1"/>
        <v>-5.1936810214239671E-3</v>
      </c>
      <c r="DT2" s="7">
        <f t="shared" si="1"/>
        <v>-7.5411500253787719E-3</v>
      </c>
      <c r="DU2" s="7">
        <f t="shared" si="1"/>
        <v>5.3335281654124014E-3</v>
      </c>
      <c r="DV2" s="7">
        <f t="shared" si="1"/>
        <v>2.6162790697673759E-3</v>
      </c>
      <c r="DW2" s="7">
        <f t="shared" si="1"/>
        <v>8.5532038271964213E-3</v>
      </c>
      <c r="DX2" s="7">
        <f t="shared" si="1"/>
        <v>-6.1089550093431071E-3</v>
      </c>
      <c r="DY2" s="7">
        <f t="shared" si="1"/>
        <v>5.4233856388748282E-3</v>
      </c>
      <c r="DZ2" s="7">
        <f t="shared" si="1"/>
        <v>6.401035673187473E-3</v>
      </c>
      <c r="EA2" s="7">
        <f t="shared" si="1"/>
        <v>-1.0290859715571974E-2</v>
      </c>
      <c r="EB2" s="7">
        <f t="shared" si="1"/>
        <v>1.2997328326954686E-3</v>
      </c>
      <c r="EC2" s="7">
        <f t="shared" si="1"/>
        <v>2.0191822311963325E-3</v>
      </c>
      <c r="ED2" s="7">
        <f t="shared" si="1"/>
        <v>-3.814321698452648E-3</v>
      </c>
      <c r="EE2" s="7">
        <f t="shared" si="1"/>
        <v>1.3003901170350776E-3</v>
      </c>
      <c r="EF2" s="7">
        <f t="shared" ref="EF2:GQ2" si="2">(EF8-EE8)/EE8</f>
        <v>1.6594516594516267E-3</v>
      </c>
      <c r="EG2" s="7">
        <f t="shared" si="2"/>
        <v>1.3685802780379537E-3</v>
      </c>
      <c r="EH2" s="7">
        <f t="shared" si="2"/>
        <v>-4.6036541504820101E-3</v>
      </c>
      <c r="EI2" s="7">
        <f t="shared" si="2"/>
        <v>-1.1562364503540318E-3</v>
      </c>
      <c r="EJ2" s="7">
        <f t="shared" si="2"/>
        <v>2.2428013312110469E-3</v>
      </c>
      <c r="EK2" s="7">
        <f t="shared" si="2"/>
        <v>2.9596477297337302E-3</v>
      </c>
      <c r="EL2" s="7">
        <f t="shared" si="2"/>
        <v>5.8298546135021655E-3</v>
      </c>
      <c r="EM2" s="7">
        <f t="shared" si="2"/>
        <v>4.2933810375664333E-4</v>
      </c>
      <c r="EN2" s="7">
        <f t="shared" si="2"/>
        <v>-1.7881410485659111E-3</v>
      </c>
      <c r="EO2" s="7">
        <f t="shared" si="2"/>
        <v>-6.6638005159071045E-3</v>
      </c>
      <c r="EP2" s="7">
        <f t="shared" si="2"/>
        <v>3.5345884729135763E-3</v>
      </c>
      <c r="EQ2" s="7">
        <f t="shared" si="2"/>
        <v>3.234617596319724E-3</v>
      </c>
      <c r="ER2" s="7">
        <f t="shared" si="2"/>
        <v>-5.0870530916387021E-3</v>
      </c>
      <c r="ES2" s="7">
        <f t="shared" si="2"/>
        <v>-6.4813481204080631E-4</v>
      </c>
      <c r="ET2" s="7">
        <f t="shared" si="2"/>
        <v>3.3868991857029943E-3</v>
      </c>
      <c r="EU2" s="7">
        <f t="shared" si="2"/>
        <v>-1.436368859523452E-4</v>
      </c>
      <c r="EV2" s="7">
        <f t="shared" si="2"/>
        <v>1.149260163769508E-3</v>
      </c>
      <c r="EW2" s="7">
        <f t="shared" si="2"/>
        <v>-7.8920935571811525E-4</v>
      </c>
      <c r="EX2" s="7">
        <f t="shared" si="2"/>
        <v>-6.4622675378767211E-4</v>
      </c>
      <c r="EY2" s="7">
        <f t="shared" si="2"/>
        <v>-1.0058916510991979E-3</v>
      </c>
      <c r="EZ2" s="7">
        <f t="shared" si="2"/>
        <v>-2.7330264672038129E-3</v>
      </c>
      <c r="FA2" s="7">
        <f t="shared" si="2"/>
        <v>7.2118851867878264E-4</v>
      </c>
      <c r="FB2" s="7">
        <f t="shared" si="2"/>
        <v>1.2972038051312928E-3</v>
      </c>
      <c r="FC2" s="7">
        <f t="shared" si="2"/>
        <v>-5.0381459622862062E-4</v>
      </c>
      <c r="FD2" s="7">
        <f t="shared" si="2"/>
        <v>5.7607834665511233E-4</v>
      </c>
      <c r="FE2" s="7">
        <f t="shared" si="2"/>
        <v>-5.1817200431810333E-3</v>
      </c>
      <c r="FF2" s="7">
        <f t="shared" si="2"/>
        <v>-1.6638935108152749E-3</v>
      </c>
      <c r="FG2" s="7">
        <f t="shared" si="2"/>
        <v>3.3333333333332676E-3</v>
      </c>
      <c r="FH2" s="7">
        <f t="shared" si="2"/>
        <v>6.5000722230247011E-3</v>
      </c>
      <c r="FI2" s="7">
        <f t="shared" si="2"/>
        <v>2.8702640642945678E-4</v>
      </c>
      <c r="FJ2" s="7">
        <f t="shared" si="2"/>
        <v>-1.434720229555563E-4</v>
      </c>
      <c r="FK2" s="7">
        <f t="shared" si="2"/>
        <v>7.8920935571827843E-4</v>
      </c>
      <c r="FL2" s="7">
        <f t="shared" si="2"/>
        <v>3.9429349774177357E-3</v>
      </c>
      <c r="FM2" s="7">
        <f t="shared" si="2"/>
        <v>7.9977149385888433E-3</v>
      </c>
      <c r="FN2" s="7">
        <f t="shared" si="2"/>
        <v>-6.6591102295266817E-3</v>
      </c>
      <c r="FO2" s="7">
        <f t="shared" si="2"/>
        <v>7.1316502638710591E-4</v>
      </c>
      <c r="FP2" s="7">
        <f t="shared" si="2"/>
        <v>1.995438996579215E-3</v>
      </c>
      <c r="FQ2" s="7">
        <f t="shared" si="2"/>
        <v>-2.9160739687054829E-3</v>
      </c>
      <c r="FR2" s="7">
        <f t="shared" si="2"/>
        <v>1.3267708110421505E-2</v>
      </c>
      <c r="FS2" s="7">
        <f t="shared" si="2"/>
        <v>5.0686378035903175E-3</v>
      </c>
      <c r="FT2" s="7">
        <f t="shared" si="2"/>
        <v>4.9029908244032044E-4</v>
      </c>
      <c r="FU2" s="7">
        <f t="shared" si="2"/>
        <v>-2.800336040324839E-3</v>
      </c>
      <c r="FV2" s="7">
        <f t="shared" si="2"/>
        <v>-3.7208649255828291E-3</v>
      </c>
      <c r="FW2" s="7">
        <f t="shared" si="2"/>
        <v>2.818687900782827E-4</v>
      </c>
      <c r="FX2" s="7">
        <f t="shared" si="2"/>
        <v>4.9313138429027512E-4</v>
      </c>
      <c r="FY2" s="7">
        <f t="shared" si="2"/>
        <v>2.4644416279397266E-3</v>
      </c>
      <c r="FZ2" s="7">
        <f t="shared" si="2"/>
        <v>4.4953290721358877E-3</v>
      </c>
      <c r="GA2" s="7">
        <f t="shared" si="2"/>
        <v>4.5451367037270124E-3</v>
      </c>
      <c r="GB2" s="7">
        <f t="shared" si="2"/>
        <v>-3.4804399276068499E-4</v>
      </c>
      <c r="GC2" s="7">
        <f t="shared" si="2"/>
        <v>-2.5067892208062875E-3</v>
      </c>
      <c r="GD2" s="7">
        <f t="shared" si="2"/>
        <v>1.2565445026177693E-3</v>
      </c>
      <c r="GE2" s="7">
        <f t="shared" si="2"/>
        <v>-9.0636547444743394E-4</v>
      </c>
      <c r="GF2" s="7">
        <f t="shared" si="2"/>
        <v>-6.8387997208652854E-3</v>
      </c>
      <c r="GG2" s="7">
        <f t="shared" si="2"/>
        <v>2.9510961214165581E-3</v>
      </c>
      <c r="GH2" s="7">
        <f t="shared" si="2"/>
        <v>1.1209191537059752E-3</v>
      </c>
      <c r="GI2" s="7">
        <f t="shared" si="2"/>
        <v>6.0881735479356514E-3</v>
      </c>
      <c r="GJ2" s="7">
        <f t="shared" si="2"/>
        <v>6.4686652291854729E-3</v>
      </c>
      <c r="GK2" s="7">
        <f t="shared" si="2"/>
        <v>-9.6751900483765785E-4</v>
      </c>
      <c r="GL2" s="7">
        <f t="shared" si="2"/>
        <v>5.810736026563428E-3</v>
      </c>
      <c r="GM2" s="7">
        <f t="shared" si="2"/>
        <v>-2.0632737276475552E-4</v>
      </c>
      <c r="GN2" s="7">
        <f t="shared" si="2"/>
        <v>6.5350484969388459E-3</v>
      </c>
      <c r="GO2" s="7">
        <f t="shared" si="2"/>
        <v>2.1869874248223384E-3</v>
      </c>
      <c r="GP2" s="7">
        <f t="shared" si="2"/>
        <v>2.1140207310419456E-3</v>
      </c>
      <c r="GQ2" s="7">
        <f t="shared" si="2"/>
        <v>-7.4855392990813199E-3</v>
      </c>
      <c r="GR2" s="7">
        <f t="shared" ref="GR2:IR2" si="3">(GR8-GQ8)/GQ8</f>
        <v>-1.3712718546454952E-4</v>
      </c>
      <c r="GS2" s="7">
        <f t="shared" si="3"/>
        <v>4.7315367208393957E-3</v>
      </c>
      <c r="GT2" s="7">
        <f t="shared" si="3"/>
        <v>-1.3650013650016754E-4</v>
      </c>
      <c r="GU2" s="7">
        <f t="shared" si="3"/>
        <v>2.3208191126280484E-3</v>
      </c>
      <c r="GV2" s="7">
        <f t="shared" si="3"/>
        <v>2.451648052301763E-3</v>
      </c>
      <c r="GW2" s="7">
        <f t="shared" si="3"/>
        <v>1.0190217391304348E-3</v>
      </c>
      <c r="GX2" s="7">
        <f t="shared" si="3"/>
        <v>0</v>
      </c>
      <c r="GY2" s="7">
        <f t="shared" si="3"/>
        <v>-7.3294876145232135E-3</v>
      </c>
      <c r="GZ2" s="7">
        <f t="shared" si="3"/>
        <v>1.4357011007041149E-3</v>
      </c>
      <c r="HA2" s="7">
        <f t="shared" si="3"/>
        <v>7.5095576187884797E-4</v>
      </c>
      <c r="HB2" s="7">
        <f t="shared" si="3"/>
        <v>2.1829592741659169E-3</v>
      </c>
      <c r="HC2" s="7">
        <f t="shared" si="3"/>
        <v>3.4034442856170448E-4</v>
      </c>
      <c r="HD2" s="7">
        <f t="shared" si="3"/>
        <v>-6.124115405551603E-4</v>
      </c>
      <c r="HE2" s="7">
        <f t="shared" si="3"/>
        <v>1.9064478790767035E-3</v>
      </c>
      <c r="HF2" s="7">
        <f t="shared" si="3"/>
        <v>4.0774719673796064E-4</v>
      </c>
      <c r="HG2" s="7">
        <f t="shared" si="3"/>
        <v>-2.1058352014128858E-3</v>
      </c>
      <c r="HH2" s="7">
        <f t="shared" si="3"/>
        <v>9.5302927161340428E-4</v>
      </c>
      <c r="HI2" s="7">
        <f t="shared" si="3"/>
        <v>0</v>
      </c>
      <c r="HJ2" s="7">
        <f t="shared" si="3"/>
        <v>-6.1207834602835349E-4</v>
      </c>
      <c r="HK2" s="7">
        <f t="shared" si="3"/>
        <v>2.041510717931269E-3</v>
      </c>
      <c r="HL2" s="7">
        <f t="shared" si="3"/>
        <v>1.0865874363327056E-3</v>
      </c>
      <c r="HM2" s="7">
        <f t="shared" si="3"/>
        <v>-1.1532460484362107E-3</v>
      </c>
      <c r="HN2" s="7">
        <f t="shared" si="3"/>
        <v>4.2108122792718135E-3</v>
      </c>
      <c r="HO2" s="7">
        <f t="shared" si="3"/>
        <v>-9.4684160692537782E-4</v>
      </c>
      <c r="HP2" s="7">
        <f t="shared" si="3"/>
        <v>4.0617384240448755E-4</v>
      </c>
      <c r="HQ2" s="7">
        <f t="shared" si="3"/>
        <v>7.4434970902702421E-4</v>
      </c>
      <c r="HR2" s="7">
        <f t="shared" si="3"/>
        <v>3.0428020826289807E-3</v>
      </c>
      <c r="HS2" s="7">
        <f t="shared" si="3"/>
        <v>-1.5370095726034906E-2</v>
      </c>
      <c r="HT2" s="7">
        <f t="shared" si="3"/>
        <v>-1.2529097631110472E-2</v>
      </c>
      <c r="HU2" s="7">
        <f t="shared" si="3"/>
        <v>-5.8240310614989001E-3</v>
      </c>
      <c r="HV2" s="7">
        <f t="shared" si="3"/>
        <v>6.9739870283841269E-4</v>
      </c>
      <c r="HW2" s="7">
        <f t="shared" si="3"/>
        <v>0</v>
      </c>
      <c r="HX2" s="7">
        <f t="shared" si="3"/>
        <v>5.0177712732593334E-3</v>
      </c>
      <c r="HY2" s="7">
        <f t="shared" si="3"/>
        <v>3.259135982248142E-3</v>
      </c>
      <c r="HZ2" s="7">
        <f t="shared" si="3"/>
        <v>-7.6029858999164296E-4</v>
      </c>
      <c r="IA2" s="7">
        <f t="shared" si="3"/>
        <v>1.7984367434460186E-3</v>
      </c>
      <c r="IB2" s="7">
        <f t="shared" si="3"/>
        <v>7.5951115100472038E-4</v>
      </c>
      <c r="IC2" s="7">
        <f t="shared" si="3"/>
        <v>4.3466261901476157E-3</v>
      </c>
      <c r="ID2" s="7">
        <f t="shared" si="3"/>
        <v>5.7704197293397428E-3</v>
      </c>
      <c r="IE2" s="7">
        <f t="shared" si="3"/>
        <v>5.9422170616761465E-3</v>
      </c>
      <c r="IF2" s="7">
        <f t="shared" si="3"/>
        <v>3.191200434546473E-3</v>
      </c>
      <c r="IG2" s="7">
        <f t="shared" si="3"/>
        <v>-5.2791878172588529E-3</v>
      </c>
      <c r="IH2" s="7">
        <f t="shared" si="3"/>
        <v>2.5855616792542385E-3</v>
      </c>
      <c r="II2" s="7">
        <f t="shared" si="3"/>
        <v>6.7865626060338677E-5</v>
      </c>
      <c r="IJ2" s="7">
        <f t="shared" si="3"/>
        <v>2.307274701411571E-3</v>
      </c>
      <c r="IK2" s="7">
        <f t="shared" si="3"/>
        <v>-2.8436018957346278E-3</v>
      </c>
      <c r="IL2" s="7">
        <f t="shared" si="3"/>
        <v>-2.9875067897880661E-3</v>
      </c>
      <c r="IM2" s="7">
        <f t="shared" si="3"/>
        <v>-8.1721601743397262E-4</v>
      </c>
      <c r="IN2" s="7">
        <f t="shared" si="3"/>
        <v>-1.6630316248636919E-2</v>
      </c>
      <c r="IO2" s="7">
        <f t="shared" si="3"/>
        <v>4.1585805378430828E-3</v>
      </c>
      <c r="IP2" s="7">
        <f t="shared" si="3"/>
        <v>-1.3942573163997824E-2</v>
      </c>
      <c r="IQ2" s="7">
        <f t="shared" si="3"/>
        <v>-1.1199776004479274E-3</v>
      </c>
      <c r="IR2" s="7">
        <f t="shared" si="3"/>
        <v>6.7974772249474744E-3</v>
      </c>
    </row>
    <row r="3" spans="1:252" ht="13.5" x14ac:dyDescent="0.3">
      <c r="D3" s="6" t="s">
        <v>43</v>
      </c>
      <c r="E3" s="7">
        <f>F3*(SQRT(COUNTA(F3:IR3)))</f>
        <v>0.11443670443906503</v>
      </c>
      <c r="F3" s="7">
        <f t="shared" ref="F3:F5" si="4">_xlfn.STDEV.S(G3:IR3)</f>
        <v>7.2814331359739625E-3</v>
      </c>
      <c r="G3" s="7">
        <f>(G11-F11)/F11</f>
        <v>1.9275896748240026E-2</v>
      </c>
      <c r="H3" s="7">
        <f t="shared" ref="H3:BS3" si="5">(H11-G11)/G11</f>
        <v>-2.9271501397796712E-3</v>
      </c>
      <c r="I3" s="7">
        <f t="shared" si="5"/>
        <v>-5.1457975986277573E-3</v>
      </c>
      <c r="J3" s="7">
        <f t="shared" si="5"/>
        <v>-3.4416445623342536E-3</v>
      </c>
      <c r="K3" s="7">
        <f t="shared" si="5"/>
        <v>-7.4926304722486483E-3</v>
      </c>
      <c r="L3" s="7">
        <f t="shared" si="5"/>
        <v>4.1433408199524416E-3</v>
      </c>
      <c r="M3" s="7">
        <f t="shared" si="5"/>
        <v>5.6952855321052345E-3</v>
      </c>
      <c r="N3" s="7">
        <f t="shared" si="5"/>
        <v>1.6464620981769536E-3</v>
      </c>
      <c r="O3" s="7">
        <f t="shared" si="5"/>
        <v>6.005010803716973E-3</v>
      </c>
      <c r="P3" s="7">
        <f t="shared" si="5"/>
        <v>-2.490446699169833E-3</v>
      </c>
      <c r="Q3" s="7">
        <f t="shared" si="5"/>
        <v>-2.239072139073376E-3</v>
      </c>
      <c r="R3" s="7">
        <f t="shared" si="5"/>
        <v>-1.5424028385509056E-3</v>
      </c>
      <c r="S3" s="7">
        <f t="shared" si="5"/>
        <v>-4.4354571371743381E-3</v>
      </c>
      <c r="T3" s="7">
        <f t="shared" si="5"/>
        <v>6.8859424218006985E-3</v>
      </c>
      <c r="U3" s="7">
        <f t="shared" si="5"/>
        <v>-6.0584014021628236E-3</v>
      </c>
      <c r="V3" s="7">
        <f t="shared" si="5"/>
        <v>-4.8443228927527952E-3</v>
      </c>
      <c r="W3" s="7">
        <f t="shared" si="5"/>
        <v>6.1718076107816185E-3</v>
      </c>
      <c r="X3" s="7">
        <f t="shared" si="5"/>
        <v>-1.9936999082898043E-3</v>
      </c>
      <c r="Y3" s="7">
        <f t="shared" si="5"/>
        <v>-3.1763154740500898E-3</v>
      </c>
      <c r="Z3" s="7">
        <f t="shared" si="5"/>
        <v>2.1643720315036283E-2</v>
      </c>
      <c r="AA3" s="7">
        <f t="shared" si="5"/>
        <v>1.4888483493203222E-2</v>
      </c>
      <c r="AB3" s="7">
        <f t="shared" si="5"/>
        <v>1.2305590990503375E-2</v>
      </c>
      <c r="AC3" s="7">
        <f t="shared" si="5"/>
        <v>-9.7502609404037169E-3</v>
      </c>
      <c r="AD3" s="7">
        <f t="shared" si="5"/>
        <v>8.74080929610771E-3</v>
      </c>
      <c r="AE3" s="7">
        <f t="shared" si="5"/>
        <v>2.5804067485600403E-3</v>
      </c>
      <c r="AF3" s="7">
        <f t="shared" si="5"/>
        <v>1.1356342584060524E-2</v>
      </c>
      <c r="AG3" s="7">
        <f t="shared" si="5"/>
        <v>-6.5538128990097417E-3</v>
      </c>
      <c r="AH3" s="7">
        <f t="shared" si="5"/>
        <v>-3.421863239321751E-3</v>
      </c>
      <c r="AI3" s="7">
        <f t="shared" si="5"/>
        <v>4.8616400101549138E-3</v>
      </c>
      <c r="AJ3" s="7">
        <f t="shared" si="5"/>
        <v>-1.339009385697795E-3</v>
      </c>
      <c r="AK3" s="7">
        <f t="shared" si="5"/>
        <v>1.4419975460743342E-3</v>
      </c>
      <c r="AL3" s="7">
        <f t="shared" si="5"/>
        <v>4.2945017746386701E-4</v>
      </c>
      <c r="AM3" s="7">
        <f t="shared" si="5"/>
        <v>1.4519285398650224E-4</v>
      </c>
      <c r="AN3" s="7">
        <f t="shared" si="5"/>
        <v>1.893544905417432E-3</v>
      </c>
      <c r="AO3" s="7">
        <f t="shared" si="5"/>
        <v>-1.7072694398770493E-3</v>
      </c>
      <c r="AP3" s="7">
        <f t="shared" si="5"/>
        <v>4.4805694740697227E-4</v>
      </c>
      <c r="AQ3" s="7">
        <f t="shared" si="5"/>
        <v>-7.6829429834796769E-3</v>
      </c>
      <c r="AR3" s="7">
        <f t="shared" si="5"/>
        <v>6.7571433111908467E-3</v>
      </c>
      <c r="AS3" s="7">
        <f t="shared" si="5"/>
        <v>2.5698013613001404E-3</v>
      </c>
      <c r="AT3" s="7">
        <f t="shared" si="5"/>
        <v>1.9208363510408301E-3</v>
      </c>
      <c r="AU3" s="7">
        <f t="shared" si="5"/>
        <v>-1.1062920359544853E-3</v>
      </c>
      <c r="AV3" s="7">
        <f t="shared" si="5"/>
        <v>1.8311791283334724E-3</v>
      </c>
      <c r="AW3" s="7">
        <f t="shared" si="5"/>
        <v>1.8115008950724001E-2</v>
      </c>
      <c r="AX3" s="7">
        <f t="shared" si="5"/>
        <v>-2.3900449752913527E-2</v>
      </c>
      <c r="AY3" s="7">
        <f t="shared" si="5"/>
        <v>1.1345321240084579E-2</v>
      </c>
      <c r="AZ3" s="7">
        <f t="shared" si="5"/>
        <v>8.124492219236298E-3</v>
      </c>
      <c r="BA3" s="7">
        <f t="shared" si="5"/>
        <v>6.8935589858038059E-3</v>
      </c>
      <c r="BB3" s="7">
        <f t="shared" si="5"/>
        <v>6.9818128086096207E-3</v>
      </c>
      <c r="BC3" s="7">
        <f t="shared" si="5"/>
        <v>5.4109907310035321E-3</v>
      </c>
      <c r="BD3" s="7">
        <f t="shared" si="5"/>
        <v>-1.5263833228939337E-2</v>
      </c>
      <c r="BE3" s="7">
        <f t="shared" si="5"/>
        <v>-7.9231277519436847E-3</v>
      </c>
      <c r="BF3" s="7">
        <f t="shared" si="5"/>
        <v>1.2698570788307412E-2</v>
      </c>
      <c r="BG3" s="7">
        <f t="shared" si="5"/>
        <v>-7.437549173878919E-3</v>
      </c>
      <c r="BH3" s="7">
        <f t="shared" si="5"/>
        <v>7.022628469512824E-3</v>
      </c>
      <c r="BI3" s="7">
        <f t="shared" si="5"/>
        <v>5.1103239613313738E-3</v>
      </c>
      <c r="BJ3" s="7">
        <f t="shared" si="5"/>
        <v>-1.1796161352887535E-2</v>
      </c>
      <c r="BK3" s="7">
        <f t="shared" si="5"/>
        <v>1.1330217007707811E-3</v>
      </c>
      <c r="BL3" s="7">
        <f t="shared" si="5"/>
        <v>6.9883362812155712E-3</v>
      </c>
      <c r="BM3" s="7">
        <f t="shared" si="5"/>
        <v>7.9838848355386757E-5</v>
      </c>
      <c r="BN3" s="7">
        <f t="shared" si="5"/>
        <v>8.4069736737061463E-3</v>
      </c>
      <c r="BO3" s="7">
        <f t="shared" si="5"/>
        <v>-2.3506485597709643E-3</v>
      </c>
      <c r="BP3" s="7">
        <f t="shared" si="5"/>
        <v>-1.6297978318195162E-2</v>
      </c>
      <c r="BQ3" s="7">
        <f t="shared" si="5"/>
        <v>3.5556051975129494E-3</v>
      </c>
      <c r="BR3" s="7">
        <f t="shared" si="5"/>
        <v>-2.5629610392822501E-2</v>
      </c>
      <c r="BS3" s="7">
        <f t="shared" si="5"/>
        <v>-5.4574761076772154E-3</v>
      </c>
      <c r="BT3" s="7">
        <f t="shared" ref="BT3:EE3" si="6">(BT11-BS11)/BS11</f>
        <v>7.1017470425338378E-3</v>
      </c>
      <c r="BU3" s="7">
        <f t="shared" si="6"/>
        <v>-1.5902683181803726E-2</v>
      </c>
      <c r="BV3" s="7">
        <f t="shared" si="6"/>
        <v>1.8329309512312909E-2</v>
      </c>
      <c r="BW3" s="7">
        <f t="shared" si="6"/>
        <v>1.2138684470071016E-3</v>
      </c>
      <c r="BX3" s="7">
        <f t="shared" si="6"/>
        <v>-1.0867368846455025E-2</v>
      </c>
      <c r="BY3" s="7">
        <f t="shared" si="6"/>
        <v>-3.8750534655236195E-3</v>
      </c>
      <c r="BZ3" s="7">
        <f t="shared" si="6"/>
        <v>6.5049091235356528E-3</v>
      </c>
      <c r="CA3" s="7">
        <f t="shared" si="6"/>
        <v>4.39347727808199E-4</v>
      </c>
      <c r="CB3" s="7">
        <f t="shared" si="6"/>
        <v>-8.5921588594713367E-4</v>
      </c>
      <c r="CC3" s="7">
        <f t="shared" si="6"/>
        <v>-8.8607191769913395E-3</v>
      </c>
      <c r="CD3" s="7">
        <f t="shared" si="6"/>
        <v>6.6969163335346129E-3</v>
      </c>
      <c r="CE3" s="7">
        <f t="shared" si="6"/>
        <v>-7.4184734033044073E-3</v>
      </c>
      <c r="CF3" s="7">
        <f t="shared" si="6"/>
        <v>-2.3798191337458647E-3</v>
      </c>
      <c r="CG3" s="7">
        <f t="shared" si="6"/>
        <v>8.3814730761366018E-5</v>
      </c>
      <c r="CH3" s="7">
        <f t="shared" si="6"/>
        <v>1.2874153058658964E-2</v>
      </c>
      <c r="CI3" s="7">
        <f t="shared" si="6"/>
        <v>-5.3528011507568271E-3</v>
      </c>
      <c r="CJ3" s="7">
        <f t="shared" si="6"/>
        <v>2.2780646688807058E-3</v>
      </c>
      <c r="CK3" s="7">
        <f t="shared" si="6"/>
        <v>1.7876638425834007E-3</v>
      </c>
      <c r="CL3" s="7">
        <f t="shared" si="6"/>
        <v>-1.203245193073685E-2</v>
      </c>
      <c r="CM3" s="7">
        <f t="shared" si="6"/>
        <v>1.1998374413788454E-3</v>
      </c>
      <c r="CN3" s="7">
        <f t="shared" si="6"/>
        <v>1.6558531509533487E-3</v>
      </c>
      <c r="CO3" s="7">
        <f t="shared" si="6"/>
        <v>1.3147738383162549E-2</v>
      </c>
      <c r="CP3" s="7">
        <f t="shared" si="6"/>
        <v>3.0030220687203308E-3</v>
      </c>
      <c r="CQ3" s="7">
        <f t="shared" si="6"/>
        <v>-1.8989625334692147E-3</v>
      </c>
      <c r="CR3" s="7">
        <f t="shared" si="6"/>
        <v>-3.551474178879798E-4</v>
      </c>
      <c r="CS3" s="7">
        <f t="shared" si="6"/>
        <v>-8.3869944488501359E-3</v>
      </c>
      <c r="CT3" s="7">
        <f t="shared" si="6"/>
        <v>8.4899202190616835E-3</v>
      </c>
      <c r="CU3" s="7">
        <f t="shared" si="6"/>
        <v>6.6294487090021222E-3</v>
      </c>
      <c r="CV3" s="7">
        <f t="shared" si="6"/>
        <v>-8.5583740349771086E-3</v>
      </c>
      <c r="CW3" s="7">
        <f t="shared" si="6"/>
        <v>1.8745590114227963E-2</v>
      </c>
      <c r="CX3" s="7">
        <f t="shared" si="6"/>
        <v>-1.1162692024509315E-2</v>
      </c>
      <c r="CY3" s="7">
        <f t="shared" si="6"/>
        <v>2.1454217331222138E-3</v>
      </c>
      <c r="CZ3" s="7">
        <f t="shared" si="6"/>
        <v>-6.7373140155031492E-4</v>
      </c>
      <c r="DA3" s="7">
        <f t="shared" si="6"/>
        <v>2.9613760947640637E-3</v>
      </c>
      <c r="DB3" s="7">
        <f t="shared" si="6"/>
        <v>2.2741550446036679E-3</v>
      </c>
      <c r="DC3" s="7">
        <f t="shared" si="6"/>
        <v>5.7665066252137072E-4</v>
      </c>
      <c r="DD3" s="7">
        <f t="shared" si="6"/>
        <v>4.8110051743363346E-3</v>
      </c>
      <c r="DE3" s="7">
        <f t="shared" si="6"/>
        <v>-4.339098016234234E-3</v>
      </c>
      <c r="DF3" s="7">
        <f t="shared" si="6"/>
        <v>6.2865515384518825E-3</v>
      </c>
      <c r="DG3" s="7">
        <f t="shared" si="6"/>
        <v>-1.984941820670666E-3</v>
      </c>
      <c r="DH3" s="7">
        <f t="shared" si="6"/>
        <v>1.7457338628724348E-4</v>
      </c>
      <c r="DI3" s="7">
        <f t="shared" si="6"/>
        <v>4.0207207375685203E-3</v>
      </c>
      <c r="DJ3" s="7">
        <f t="shared" si="6"/>
        <v>-2.1978840709284452E-3</v>
      </c>
      <c r="DK3" s="7">
        <f t="shared" si="6"/>
        <v>-1.8853836102295893E-3</v>
      </c>
      <c r="DL3" s="7">
        <f t="shared" si="6"/>
        <v>2.4624860511075239E-3</v>
      </c>
      <c r="DM3" s="7">
        <f t="shared" si="6"/>
        <v>-2.1952463277819757E-3</v>
      </c>
      <c r="DN3" s="7">
        <f t="shared" si="6"/>
        <v>6.033069698159579E-3</v>
      </c>
      <c r="DO3" s="7">
        <f t="shared" si="6"/>
        <v>9.8502636029657227E-4</v>
      </c>
      <c r="DP3" s="7">
        <f t="shared" si="6"/>
        <v>1.5658266079120492E-3</v>
      </c>
      <c r="DQ3" s="7">
        <f t="shared" si="6"/>
        <v>5.2709959278003154E-3</v>
      </c>
      <c r="DR3" s="7">
        <f t="shared" si="6"/>
        <v>1.1126000417994448E-3</v>
      </c>
      <c r="DS3" s="7">
        <f t="shared" si="6"/>
        <v>-2.9104216427303983E-3</v>
      </c>
      <c r="DT3" s="7">
        <f t="shared" si="6"/>
        <v>-9.2247627610244649E-3</v>
      </c>
      <c r="DU3" s="7">
        <f t="shared" si="6"/>
        <v>5.4571107147074558E-3</v>
      </c>
      <c r="DV3" s="7">
        <f t="shared" si="6"/>
        <v>-1.1194975551558165E-2</v>
      </c>
      <c r="DW3" s="7">
        <f t="shared" si="6"/>
        <v>4.6824791507770851E-3</v>
      </c>
      <c r="DX3" s="7">
        <f t="shared" si="6"/>
        <v>-1.708077432843625E-2</v>
      </c>
      <c r="DY3" s="7">
        <f t="shared" si="6"/>
        <v>5.4190248287563931E-3</v>
      </c>
      <c r="DZ3" s="7">
        <f t="shared" si="6"/>
        <v>2.0413303277965877E-2</v>
      </c>
      <c r="EA3" s="7">
        <f t="shared" si="6"/>
        <v>-1.0162902628655931E-2</v>
      </c>
      <c r="EB3" s="7">
        <f t="shared" si="6"/>
        <v>7.3560122932669805E-4</v>
      </c>
      <c r="EC3" s="7">
        <f t="shared" si="6"/>
        <v>9.4187415514761126E-3</v>
      </c>
      <c r="ED3" s="7">
        <f t="shared" si="6"/>
        <v>-2.912807094413228E-3</v>
      </c>
      <c r="EE3" s="7">
        <f t="shared" si="6"/>
        <v>-9.3457365492569263E-4</v>
      </c>
      <c r="EF3" s="7">
        <f t="shared" ref="EF3:GQ3" si="7">(EF11-EE11)/EE11</f>
        <v>-1.0903233800024724E-3</v>
      </c>
      <c r="EG3" s="7">
        <f t="shared" si="7"/>
        <v>6.8033539232467731E-3</v>
      </c>
      <c r="EH3" s="7">
        <f t="shared" si="7"/>
        <v>-1.9218804861372777E-3</v>
      </c>
      <c r="EI3" s="7">
        <f t="shared" si="7"/>
        <v>-1.0677101012781776E-3</v>
      </c>
      <c r="EJ3" s="7">
        <f t="shared" si="7"/>
        <v>-1.4827995255040677E-3</v>
      </c>
      <c r="EK3" s="7">
        <f t="shared" si="7"/>
        <v>1.2003762003760935E-3</v>
      </c>
      <c r="EL3" s="7">
        <f t="shared" si="7"/>
        <v>6.2171682837897368E-3</v>
      </c>
      <c r="EM3" s="7">
        <f t="shared" si="7"/>
        <v>-2.9235455974842709E-3</v>
      </c>
      <c r="EN3" s="7">
        <f t="shared" si="7"/>
        <v>6.8991006529504854E-3</v>
      </c>
      <c r="EO3" s="7">
        <f t="shared" si="7"/>
        <v>-1.4639667196867635E-2</v>
      </c>
      <c r="EP3" s="7">
        <f t="shared" si="7"/>
        <v>5.5256508161199147E-3</v>
      </c>
      <c r="EQ3" s="7">
        <f t="shared" si="7"/>
        <v>3.4021376044258604E-3</v>
      </c>
      <c r="ER3" s="7">
        <f t="shared" si="7"/>
        <v>-2.1352794939326234E-3</v>
      </c>
      <c r="ES3" s="7">
        <f t="shared" si="7"/>
        <v>1.6033448239711825E-4</v>
      </c>
      <c r="ET3" s="7">
        <f t="shared" si="7"/>
        <v>5.493658554631433E-3</v>
      </c>
      <c r="EU3" s="7">
        <f t="shared" si="7"/>
        <v>-6.7575025447945041E-3</v>
      </c>
      <c r="EV3" s="7">
        <f t="shared" si="7"/>
        <v>3.3400009878007124E-3</v>
      </c>
      <c r="EW3" s="7">
        <f t="shared" si="7"/>
        <v>-1.6859774669726914E-3</v>
      </c>
      <c r="EX3" s="7">
        <f t="shared" si="7"/>
        <v>4.3268430687302267E-3</v>
      </c>
      <c r="EY3" s="7">
        <f t="shared" si="7"/>
        <v>3.8601982263953873E-3</v>
      </c>
      <c r="EZ3" s="7">
        <f t="shared" si="7"/>
        <v>-7.2688813625637937E-3</v>
      </c>
      <c r="FA3" s="7">
        <f t="shared" si="7"/>
        <v>1.2316408535273916E-4</v>
      </c>
      <c r="FB3" s="7">
        <f t="shared" si="7"/>
        <v>4.2055355438565039E-3</v>
      </c>
      <c r="FC3" s="7">
        <f t="shared" si="7"/>
        <v>-1.355096634945573E-3</v>
      </c>
      <c r="FD3" s="7">
        <f t="shared" si="7"/>
        <v>3.6041678179127082E-3</v>
      </c>
      <c r="FE3" s="7">
        <f t="shared" si="7"/>
        <v>3.6952292388072266E-3</v>
      </c>
      <c r="FF3" s="7">
        <f t="shared" si="7"/>
        <v>-5.5712004291164543E-3</v>
      </c>
      <c r="FG3" s="7">
        <f t="shared" si="7"/>
        <v>4.0455058108165452E-4</v>
      </c>
      <c r="FH3" s="7">
        <f t="shared" si="7"/>
        <v>2.3589240855340582E-3</v>
      </c>
      <c r="FI3" s="7">
        <f t="shared" si="7"/>
        <v>5.6114184418839591E-3</v>
      </c>
      <c r="FJ3" s="7">
        <f t="shared" si="7"/>
        <v>8.7531076571445844E-4</v>
      </c>
      <c r="FK3" s="7">
        <f t="shared" si="7"/>
        <v>-5.101514056493112E-3</v>
      </c>
      <c r="FL3" s="7">
        <f t="shared" si="7"/>
        <v>-2.5516277309437139E-3</v>
      </c>
      <c r="FM3" s="7">
        <f t="shared" si="7"/>
        <v>1.1236298875758052E-2</v>
      </c>
      <c r="FN3" s="7">
        <f t="shared" si="7"/>
        <v>-4.7508094532029595E-3</v>
      </c>
      <c r="FO3" s="7">
        <f t="shared" si="7"/>
        <v>1.9519610823958871E-3</v>
      </c>
      <c r="FP3" s="7">
        <f t="shared" si="7"/>
        <v>1.4383599055658404E-3</v>
      </c>
      <c r="FQ3" s="7">
        <f t="shared" si="7"/>
        <v>-1.7865800446038992E-2</v>
      </c>
      <c r="FR3" s="7">
        <f t="shared" si="7"/>
        <v>1.7647784771072528E-2</v>
      </c>
      <c r="FS3" s="7">
        <f t="shared" si="7"/>
        <v>1.1763279165656407E-3</v>
      </c>
      <c r="FT3" s="7">
        <f t="shared" si="7"/>
        <v>3.8639969960148029E-3</v>
      </c>
      <c r="FU3" s="7">
        <f t="shared" si="7"/>
        <v>8.5066846855548159E-4</v>
      </c>
      <c r="FV3" s="7">
        <f t="shared" si="7"/>
        <v>5.9677020730230276E-4</v>
      </c>
      <c r="FW3" s="7">
        <f t="shared" si="7"/>
        <v>-3.2230468938262906E-3</v>
      </c>
      <c r="FX3" s="7">
        <f t="shared" si="7"/>
        <v>-5.8021117269141614E-4</v>
      </c>
      <c r="FY3" s="7">
        <f t="shared" si="7"/>
        <v>-1.2397119030484545E-3</v>
      </c>
      <c r="FZ3" s="7">
        <f t="shared" si="7"/>
        <v>5.4070091307612585E-3</v>
      </c>
      <c r="GA3" s="7">
        <f t="shared" si="7"/>
        <v>5.0226138067678327E-3</v>
      </c>
      <c r="GB3" s="7">
        <f t="shared" si="7"/>
        <v>5.9922220957197561E-4</v>
      </c>
      <c r="GC3" s="7">
        <f t="shared" si="7"/>
        <v>-5.3897702161289686E-4</v>
      </c>
      <c r="GD3" s="7">
        <f t="shared" si="7"/>
        <v>1.2582912404953527E-3</v>
      </c>
      <c r="GE3" s="7">
        <f t="shared" si="7"/>
        <v>-4.978965069448147E-3</v>
      </c>
      <c r="GF3" s="7">
        <f t="shared" si="7"/>
        <v>-9.7491444689693542E-3</v>
      </c>
      <c r="GG3" s="7">
        <f t="shared" si="7"/>
        <v>1.3361676283026256E-4</v>
      </c>
      <c r="GH3" s="7">
        <f t="shared" si="7"/>
        <v>-3.522153128643165E-4</v>
      </c>
      <c r="GI3" s="7">
        <f t="shared" si="7"/>
        <v>2.8976879244778583E-3</v>
      </c>
      <c r="GJ3" s="7">
        <f t="shared" si="7"/>
        <v>7.474665487518955E-3</v>
      </c>
      <c r="GK3" s="7">
        <f t="shared" si="7"/>
        <v>3.7276416654141264E-3</v>
      </c>
      <c r="GL3" s="7">
        <f t="shared" si="7"/>
        <v>5.8102968043367851E-3</v>
      </c>
      <c r="GM3" s="7">
        <f t="shared" si="7"/>
        <v>7.4442426227555602E-4</v>
      </c>
      <c r="GN3" s="7">
        <f t="shared" si="7"/>
        <v>8.5396334206140848E-3</v>
      </c>
      <c r="GO3" s="7">
        <f t="shared" si="7"/>
        <v>3.0978020356984804E-3</v>
      </c>
      <c r="GP3" s="7">
        <f t="shared" si="7"/>
        <v>5.2705882352941389E-3</v>
      </c>
      <c r="GQ3" s="7">
        <f t="shared" si="7"/>
        <v>-7.9990169459788832E-3</v>
      </c>
      <c r="GR3" s="7">
        <f t="shared" ref="GR3:IR3" si="8">(GR11-GQ11)/GQ11</f>
        <v>-2.8490700706073459E-3</v>
      </c>
      <c r="GS3" s="7">
        <f t="shared" si="8"/>
        <v>3.7327118062538867E-3</v>
      </c>
      <c r="GT3" s="7">
        <f t="shared" si="8"/>
        <v>-3.6716820783017252E-3</v>
      </c>
      <c r="GU3" s="7">
        <f t="shared" si="8"/>
        <v>1.1002401599489674E-3</v>
      </c>
      <c r="GV3" s="7">
        <f t="shared" si="8"/>
        <v>1.1935712597494574E-3</v>
      </c>
      <c r="GW3" s="7">
        <f t="shared" si="8"/>
        <v>2.0183897734917231E-3</v>
      </c>
      <c r="GX3" s="7">
        <f t="shared" si="8"/>
        <v>4.2112330961693043E-3</v>
      </c>
      <c r="GY3" s="7">
        <f t="shared" si="8"/>
        <v>-5.0557481275550695E-3</v>
      </c>
      <c r="GZ3" s="7">
        <f t="shared" si="8"/>
        <v>1.6505833043499838E-3</v>
      </c>
      <c r="HA3" s="7">
        <f t="shared" si="8"/>
        <v>1.1829304895919718E-3</v>
      </c>
      <c r="HB3" s="7">
        <f t="shared" si="8"/>
        <v>2.568805182285173E-3</v>
      </c>
      <c r="HC3" s="7">
        <f t="shared" si="8"/>
        <v>1.7648265955263645E-3</v>
      </c>
      <c r="HD3" s="7">
        <f t="shared" si="8"/>
        <v>3.1664091398605153E-3</v>
      </c>
      <c r="HE3" s="7">
        <f t="shared" si="8"/>
        <v>-4.5508381126855939E-4</v>
      </c>
      <c r="HF3" s="7">
        <f t="shared" si="8"/>
        <v>3.6773504398220964E-4</v>
      </c>
      <c r="HG3" s="7">
        <f t="shared" si="8"/>
        <v>-2.4506657641993009E-3</v>
      </c>
      <c r="HH3" s="7">
        <f t="shared" si="8"/>
        <v>9.3588048806215335E-5</v>
      </c>
      <c r="HI3" s="7">
        <f t="shared" si="8"/>
        <v>6.0183181461942259E-3</v>
      </c>
      <c r="HJ3" s="7">
        <f t="shared" si="8"/>
        <v>3.1045248158506024E-3</v>
      </c>
      <c r="HK3" s="7">
        <f t="shared" si="8"/>
        <v>1.9183846158304086E-3</v>
      </c>
      <c r="HL3" s="7">
        <f t="shared" si="8"/>
        <v>2.3196353371280434E-3</v>
      </c>
      <c r="HM3" s="7">
        <f t="shared" si="8"/>
        <v>-1.5755484120434332E-3</v>
      </c>
      <c r="HN3" s="7">
        <f t="shared" si="8"/>
        <v>3.5664739884393483E-3</v>
      </c>
      <c r="HO3" s="7">
        <f t="shared" si="8"/>
        <v>-2.3096816555982368E-3</v>
      </c>
      <c r="HP3" s="7">
        <f t="shared" si="8"/>
        <v>-6.5813781636806065E-4</v>
      </c>
      <c r="HQ3" s="7">
        <f t="shared" si="8"/>
        <v>5.0606001086064807E-3</v>
      </c>
      <c r="HR3" s="7">
        <f t="shared" si="8"/>
        <v>5.7248617641311181E-3</v>
      </c>
      <c r="HS3" s="7">
        <f t="shared" si="8"/>
        <v>-1.6368146124567134E-2</v>
      </c>
      <c r="HT3" s="7">
        <f t="shared" si="8"/>
        <v>-1.3160188251699416E-2</v>
      </c>
      <c r="HU3" s="7">
        <f t="shared" si="8"/>
        <v>-5.9465983691013198E-3</v>
      </c>
      <c r="HV3" s="7">
        <f t="shared" si="8"/>
        <v>-1.5577338821926034E-3</v>
      </c>
      <c r="HW3" s="7">
        <f t="shared" si="8"/>
        <v>0</v>
      </c>
      <c r="HX3" s="7">
        <f t="shared" si="8"/>
        <v>1.9398239328002169E-3</v>
      </c>
      <c r="HY3" s="7">
        <f t="shared" si="8"/>
        <v>3.8543745078419593E-3</v>
      </c>
      <c r="HZ3" s="7">
        <f t="shared" si="8"/>
        <v>-3.2733706871129194E-3</v>
      </c>
      <c r="IA3" s="7">
        <f t="shared" si="8"/>
        <v>7.2783218438416417E-4</v>
      </c>
      <c r="IB3" s="7">
        <f t="shared" si="8"/>
        <v>-6.9773767428663036E-4</v>
      </c>
      <c r="IC3" s="7">
        <f t="shared" si="8"/>
        <v>2.0236686390532974E-3</v>
      </c>
      <c r="ID3" s="7">
        <f t="shared" si="8"/>
        <v>8.6629424478273809E-3</v>
      </c>
      <c r="IE3" s="7">
        <f t="shared" si="8"/>
        <v>4.0454542793413005E-3</v>
      </c>
      <c r="IF3" s="7">
        <f t="shared" si="8"/>
        <v>3.2769679300290911E-3</v>
      </c>
      <c r="IG3" s="7">
        <f t="shared" si="8"/>
        <v>-8.4388185654008345E-3</v>
      </c>
      <c r="IH3" s="7">
        <f t="shared" si="8"/>
        <v>2.0221557939159754E-3</v>
      </c>
      <c r="II3" s="7">
        <f t="shared" si="8"/>
        <v>3.6500833552689359E-3</v>
      </c>
      <c r="IJ3" s="7">
        <f t="shared" si="8"/>
        <v>9.2785247611887663E-3</v>
      </c>
      <c r="IK3" s="7">
        <f t="shared" si="8"/>
        <v>-6.2481593338376152E-3</v>
      </c>
      <c r="IL3" s="7">
        <f t="shared" si="8"/>
        <v>3.3296724369365795E-3</v>
      </c>
      <c r="IM3" s="7">
        <f t="shared" si="8"/>
        <v>1.010065909117238E-2</v>
      </c>
      <c r="IN3" s="7">
        <f t="shared" si="8"/>
        <v>-1.7292983039574245E-2</v>
      </c>
      <c r="IO3" s="7">
        <f t="shared" si="8"/>
        <v>1.7007993465196256E-2</v>
      </c>
      <c r="IP3" s="7">
        <f t="shared" si="8"/>
        <v>-2.0251857376437827E-2</v>
      </c>
      <c r="IQ3" s="7">
        <f t="shared" si="8"/>
        <v>3.3962816571507965E-4</v>
      </c>
      <c r="IR3" s="7">
        <f t="shared" si="8"/>
        <v>-4.1736666803251611E-3</v>
      </c>
    </row>
    <row r="4" spans="1:252" ht="13.5" x14ac:dyDescent="0.3">
      <c r="D4" s="6" t="s">
        <v>44</v>
      </c>
      <c r="E4" s="7">
        <f>F4*(SQRT(COUNTA(F4:IR4)))</f>
        <v>0.10887459613106608</v>
      </c>
      <c r="F4" s="7">
        <f t="shared" si="4"/>
        <v>6.9275246593338913E-3</v>
      </c>
      <c r="G4" s="7">
        <f>(G20-F20)/F20</f>
        <v>2.1897361703078377E-2</v>
      </c>
      <c r="H4" s="7">
        <f t="shared" ref="H4:BS4" si="9">(H20-G20)/G20</f>
        <v>-3.5203376025625364E-3</v>
      </c>
      <c r="I4" s="7">
        <f t="shared" si="9"/>
        <v>-5.6008733193265983E-3</v>
      </c>
      <c r="J4" s="7">
        <f t="shared" si="9"/>
        <v>-7.3922061873869602E-3</v>
      </c>
      <c r="K4" s="7">
        <f t="shared" si="9"/>
        <v>-3.6902829957983422E-3</v>
      </c>
      <c r="L4" s="7">
        <f t="shared" si="9"/>
        <v>2.6050382667290564E-3</v>
      </c>
      <c r="M4" s="7">
        <f t="shared" si="9"/>
        <v>6.5374022866998638E-3</v>
      </c>
      <c r="N4" s="7">
        <f t="shared" si="9"/>
        <v>-8.6230722458678101E-4</v>
      </c>
      <c r="O4" s="7">
        <f t="shared" si="9"/>
        <v>8.304103920245191E-3</v>
      </c>
      <c r="P4" s="7">
        <f t="shared" si="9"/>
        <v>-3.2975775698883382E-3</v>
      </c>
      <c r="Q4" s="7">
        <f t="shared" si="9"/>
        <v>1.2110936175366606E-3</v>
      </c>
      <c r="R4" s="7">
        <f t="shared" si="9"/>
        <v>2.3422809197576294E-3</v>
      </c>
      <c r="S4" s="7">
        <f t="shared" si="9"/>
        <v>-5.529347229840882E-3</v>
      </c>
      <c r="T4" s="7">
        <f t="shared" si="9"/>
        <v>6.0785914436378777E-3</v>
      </c>
      <c r="U4" s="7">
        <f t="shared" si="9"/>
        <v>-5.3346053049990782E-3</v>
      </c>
      <c r="V4" s="7">
        <f t="shared" si="9"/>
        <v>-5.7821310653121795E-3</v>
      </c>
      <c r="W4" s="7">
        <f t="shared" si="9"/>
        <v>5.0174084669460635E-3</v>
      </c>
      <c r="X4" s="7">
        <f t="shared" si="9"/>
        <v>1.4397855216051276E-3</v>
      </c>
      <c r="Y4" s="7">
        <f t="shared" si="9"/>
        <v>-5.3983188092852083E-4</v>
      </c>
      <c r="Z4" s="7">
        <f t="shared" si="9"/>
        <v>2.1103395061728373E-2</v>
      </c>
      <c r="AA4" s="7">
        <f t="shared" si="9"/>
        <v>8.0261673566543196E-3</v>
      </c>
      <c r="AB4" s="7">
        <f t="shared" si="9"/>
        <v>5.1350425153677236E-3</v>
      </c>
      <c r="AC4" s="7">
        <f t="shared" si="9"/>
        <v>-1.0350797751911176E-2</v>
      </c>
      <c r="AD4" s="7">
        <f t="shared" si="9"/>
        <v>6.529509290958746E-3</v>
      </c>
      <c r="AE4" s="7">
        <f t="shared" si="9"/>
        <v>-4.4388587319834602E-4</v>
      </c>
      <c r="AF4" s="7">
        <f t="shared" si="9"/>
        <v>1.0026644979721997E-2</v>
      </c>
      <c r="AG4" s="7">
        <f t="shared" si="9"/>
        <v>-2.7757765817688737E-3</v>
      </c>
      <c r="AH4" s="7">
        <f t="shared" si="9"/>
        <v>-1.1102139685102512E-3</v>
      </c>
      <c r="AI4" s="7">
        <f t="shared" si="9"/>
        <v>3.7225528203657963E-4</v>
      </c>
      <c r="AJ4" s="7">
        <f t="shared" si="9"/>
        <v>-3.6148485218994098E-4</v>
      </c>
      <c r="AK4" s="7">
        <f t="shared" si="9"/>
        <v>4.5201946342625918E-4</v>
      </c>
      <c r="AL4" s="7">
        <f t="shared" si="9"/>
        <v>3.9812895338329924E-3</v>
      </c>
      <c r="AM4" s="7">
        <f t="shared" si="9"/>
        <v>1.6624399747987336E-3</v>
      </c>
      <c r="AN4" s="7">
        <f t="shared" si="9"/>
        <v>1.205118582611393E-3</v>
      </c>
      <c r="AO4" s="7">
        <f t="shared" si="9"/>
        <v>5.8071702715111265E-4</v>
      </c>
      <c r="AP4" s="7">
        <f t="shared" si="9"/>
        <v>3.4664513984520549E-3</v>
      </c>
      <c r="AQ4" s="7">
        <f t="shared" si="9"/>
        <v>-8.2392159337077372E-3</v>
      </c>
      <c r="AR4" s="7">
        <f t="shared" si="9"/>
        <v>6.8550161434835274E-3</v>
      </c>
      <c r="AS4" s="7">
        <f t="shared" si="9"/>
        <v>-9.3726634160735912E-4</v>
      </c>
      <c r="AT4" s="7">
        <f t="shared" si="9"/>
        <v>1.4019479698107276E-3</v>
      </c>
      <c r="AU4" s="7">
        <f t="shared" si="9"/>
        <v>1.0947253186808178E-3</v>
      </c>
      <c r="AV4" s="7">
        <f t="shared" si="9"/>
        <v>5.0680826454971347E-3</v>
      </c>
      <c r="AW4" s="7">
        <f t="shared" si="9"/>
        <v>4.6711372885434544E-3</v>
      </c>
      <c r="AX4" s="7">
        <f t="shared" si="9"/>
        <v>-3.4170367632128426E-2</v>
      </c>
      <c r="AY4" s="7">
        <f t="shared" si="9"/>
        <v>6.2747973089529608E-3</v>
      </c>
      <c r="AZ4" s="7">
        <f t="shared" si="9"/>
        <v>6.5142391840057505E-3</v>
      </c>
      <c r="BA4" s="7">
        <f t="shared" si="9"/>
        <v>1.1640160950373698E-2</v>
      </c>
      <c r="BB4" s="7">
        <f t="shared" si="9"/>
        <v>-4.7929457939402259E-3</v>
      </c>
      <c r="BC4" s="7">
        <f t="shared" si="9"/>
        <v>3.0820469443857872E-3</v>
      </c>
      <c r="BD4" s="7">
        <f t="shared" si="9"/>
        <v>-8.8330004268932141E-3</v>
      </c>
      <c r="BE4" s="7">
        <f t="shared" si="9"/>
        <v>1.0634507914732516E-3</v>
      </c>
      <c r="BF4" s="7">
        <f t="shared" si="9"/>
        <v>3.6756308859225702E-3</v>
      </c>
      <c r="BG4" s="7">
        <f t="shared" si="9"/>
        <v>-3.0376960081287523E-3</v>
      </c>
      <c r="BH4" s="7">
        <f t="shared" si="9"/>
        <v>3.9175093558404912E-3</v>
      </c>
      <c r="BI4" s="7">
        <f t="shared" si="9"/>
        <v>3.8757845423348439E-3</v>
      </c>
      <c r="BJ4" s="7">
        <f t="shared" si="9"/>
        <v>-5.4462329344344756E-3</v>
      </c>
      <c r="BK4" s="7">
        <f t="shared" si="9"/>
        <v>2.6585885119318627E-3</v>
      </c>
      <c r="BL4" s="7">
        <f t="shared" si="9"/>
        <v>7.3577570725317778E-3</v>
      </c>
      <c r="BM4" s="7">
        <f t="shared" si="9"/>
        <v>3.6703597476880304E-4</v>
      </c>
      <c r="BN4" s="7">
        <f t="shared" si="9"/>
        <v>1.3575348425207216E-2</v>
      </c>
      <c r="BO4" s="7">
        <f t="shared" si="9"/>
        <v>-2.6735340810955144E-3</v>
      </c>
      <c r="BP4" s="7">
        <f t="shared" si="9"/>
        <v>-1.7349372601887281E-2</v>
      </c>
      <c r="BQ4" s="7">
        <f t="shared" si="9"/>
        <v>4.5326466646263162E-3</v>
      </c>
      <c r="BR4" s="7">
        <f t="shared" si="9"/>
        <v>-2.6810524601702954E-2</v>
      </c>
      <c r="BS4" s="7">
        <f t="shared" si="9"/>
        <v>-2.0672643561524887E-3</v>
      </c>
      <c r="BT4" s="7">
        <f t="shared" ref="BT4:EE4" si="10">(BT20-BS20)/BS20</f>
        <v>1.0373960170050768E-2</v>
      </c>
      <c r="BU4" s="7">
        <f t="shared" si="10"/>
        <v>-1.2430140682212387E-2</v>
      </c>
      <c r="BV4" s="7">
        <f t="shared" si="10"/>
        <v>1.9459893106102542E-2</v>
      </c>
      <c r="BW4" s="7">
        <f t="shared" si="10"/>
        <v>-1.3026925858182214E-3</v>
      </c>
      <c r="BX4" s="7">
        <f t="shared" si="10"/>
        <v>-8.3108392297166541E-3</v>
      </c>
      <c r="BY4" s="7">
        <f t="shared" si="10"/>
        <v>-4.4237810443129768E-3</v>
      </c>
      <c r="BZ4" s="7">
        <f t="shared" si="10"/>
        <v>6.9132127565491829E-3</v>
      </c>
      <c r="CA4" s="7">
        <f t="shared" si="10"/>
        <v>-1.1782095499239763E-3</v>
      </c>
      <c r="CB4" s="7">
        <f t="shared" si="10"/>
        <v>-2.7238021704627927E-3</v>
      </c>
      <c r="CC4" s="7">
        <f t="shared" si="10"/>
        <v>-5.1614013204585776E-3</v>
      </c>
      <c r="CD4" s="7">
        <f t="shared" si="10"/>
        <v>7.5066473551093308E-3</v>
      </c>
      <c r="CE4" s="7">
        <f t="shared" si="10"/>
        <v>-6.6621965938045181E-3</v>
      </c>
      <c r="CF4" s="7">
        <f t="shared" si="10"/>
        <v>-1.5390181604142438E-3</v>
      </c>
      <c r="CG4" s="7">
        <f t="shared" si="10"/>
        <v>6.652316412292281E-4</v>
      </c>
      <c r="CH4" s="7">
        <f t="shared" si="10"/>
        <v>7.7126380248728425E-3</v>
      </c>
      <c r="CI4" s="7">
        <f t="shared" si="10"/>
        <v>-6.2698446751909675E-3</v>
      </c>
      <c r="CJ4" s="7">
        <f t="shared" si="10"/>
        <v>4.9600872198144715E-3</v>
      </c>
      <c r="CK4" s="7">
        <f t="shared" si="10"/>
        <v>-1.127831663068542E-4</v>
      </c>
      <c r="CL4" s="7">
        <f t="shared" si="10"/>
        <v>-1.2010076432642002E-2</v>
      </c>
      <c r="CM4" s="7">
        <f t="shared" si="10"/>
        <v>1.1416704269303249E-3</v>
      </c>
      <c r="CN4" s="7">
        <f t="shared" si="10"/>
        <v>-2.8835032120379175E-3</v>
      </c>
      <c r="CO4" s="7">
        <f t="shared" si="10"/>
        <v>1.124605162836285E-2</v>
      </c>
      <c r="CP4" s="7">
        <f t="shared" si="10"/>
        <v>-5.7085925088184043E-4</v>
      </c>
      <c r="CQ4" s="7">
        <f t="shared" si="10"/>
        <v>-1.7404986555590979E-3</v>
      </c>
      <c r="CR4" s="7">
        <f t="shared" si="10"/>
        <v>-5.3979358293388606E-4</v>
      </c>
      <c r="CS4" s="7">
        <f t="shared" si="10"/>
        <v>-1.2535375575190671E-2</v>
      </c>
      <c r="CT4" s="7">
        <f t="shared" si="10"/>
        <v>7.8486066672136829E-3</v>
      </c>
      <c r="CU4" s="7">
        <f t="shared" si="10"/>
        <v>8.5526672817061861E-3</v>
      </c>
      <c r="CV4" s="7">
        <f t="shared" si="10"/>
        <v>-1.0820787103300651E-2</v>
      </c>
      <c r="CW4" s="7">
        <f t="shared" si="10"/>
        <v>1.7771371066445493E-2</v>
      </c>
      <c r="CX4" s="7">
        <f t="shared" si="10"/>
        <v>-6.7556733760194294E-3</v>
      </c>
      <c r="CY4" s="7">
        <f t="shared" si="10"/>
        <v>1.4636403749501176E-3</v>
      </c>
      <c r="CZ4" s="7">
        <f t="shared" si="10"/>
        <v>1.112245446241558E-3</v>
      </c>
      <c r="DA4" s="7">
        <f t="shared" si="10"/>
        <v>-7.0310277645098016E-4</v>
      </c>
      <c r="DB4" s="7">
        <f t="shared" si="10"/>
        <v>-1.5898080414208421E-3</v>
      </c>
      <c r="DC4" s="7">
        <f t="shared" si="10"/>
        <v>-1.0759051051687454E-5</v>
      </c>
      <c r="DD4" s="7">
        <f t="shared" si="10"/>
        <v>-1.6999483559993554E-3</v>
      </c>
      <c r="DE4" s="7">
        <f t="shared" si="10"/>
        <v>-6.3048304701144176E-4</v>
      </c>
      <c r="DF4" s="7">
        <f t="shared" si="10"/>
        <v>4.2004799007845373E-3</v>
      </c>
      <c r="DG4" s="7">
        <f t="shared" si="10"/>
        <v>-6.9804654359566709E-4</v>
      </c>
      <c r="DH4" s="7">
        <f t="shared" si="10"/>
        <v>-8.5436100245019889E-4</v>
      </c>
      <c r="DI4" s="7">
        <f t="shared" si="10"/>
        <v>3.9850493425474488E-3</v>
      </c>
      <c r="DJ4" s="7">
        <f t="shared" si="10"/>
        <v>-9.1597655957051361E-4</v>
      </c>
      <c r="DK4" s="7">
        <f t="shared" si="10"/>
        <v>-6.096024448435846E-3</v>
      </c>
      <c r="DL4" s="7">
        <f t="shared" si="10"/>
        <v>-1.6560756939873859E-3</v>
      </c>
      <c r="DM4" s="7">
        <f t="shared" si="10"/>
        <v>9.1856638803525549E-5</v>
      </c>
      <c r="DN4" s="7">
        <f t="shared" si="10"/>
        <v>5.2839730290456279E-3</v>
      </c>
      <c r="DO4" s="7">
        <f t="shared" si="10"/>
        <v>4.0469510818741585E-3</v>
      </c>
      <c r="DP4" s="7">
        <f t="shared" si="10"/>
        <v>-7.3333012166863017E-4</v>
      </c>
      <c r="DQ4" s="7">
        <f t="shared" si="10"/>
        <v>5.1585048371027252E-3</v>
      </c>
      <c r="DR4" s="7">
        <f t="shared" si="10"/>
        <v>-7.1411441818334913E-4</v>
      </c>
      <c r="DS4" s="7">
        <f t="shared" si="10"/>
        <v>-9.279455605271206E-4</v>
      </c>
      <c r="DT4" s="7">
        <f t="shared" si="10"/>
        <v>-1.305668394390847E-2</v>
      </c>
      <c r="DU4" s="7">
        <f t="shared" si="10"/>
        <v>-1.3521480223483025E-4</v>
      </c>
      <c r="DV4" s="7">
        <f t="shared" si="10"/>
        <v>-2.9102160483810485E-3</v>
      </c>
      <c r="DW4" s="7">
        <f t="shared" si="10"/>
        <v>7.8392864893017042E-3</v>
      </c>
      <c r="DX4" s="7">
        <f t="shared" si="10"/>
        <v>-1.3478815543701164E-2</v>
      </c>
      <c r="DY4" s="7">
        <f t="shared" si="10"/>
        <v>2.1989534509382234E-3</v>
      </c>
      <c r="DZ4" s="7">
        <f t="shared" si="10"/>
        <v>1.1580425976741138E-2</v>
      </c>
      <c r="EA4" s="7">
        <f t="shared" si="10"/>
        <v>-8.9882076868013534E-3</v>
      </c>
      <c r="EB4" s="7">
        <f t="shared" si="10"/>
        <v>1.5641208066084697E-3</v>
      </c>
      <c r="EC4" s="7">
        <f t="shared" si="10"/>
        <v>6.5395272670089773E-3</v>
      </c>
      <c r="ED4" s="7">
        <f t="shared" si="10"/>
        <v>2.8229260382603497E-3</v>
      </c>
      <c r="EE4" s="7">
        <f t="shared" si="10"/>
        <v>9.29373022396288E-4</v>
      </c>
      <c r="EF4" s="7">
        <f t="shared" ref="EF4:GQ4" si="11">(EF20-EE20)/EE20</f>
        <v>9.4997853155859909E-4</v>
      </c>
      <c r="EG4" s="7">
        <f t="shared" si="11"/>
        <v>6.4022477573366082E-3</v>
      </c>
      <c r="EH4" s="7">
        <f t="shared" si="11"/>
        <v>1.2946811514669516E-3</v>
      </c>
      <c r="EI4" s="7">
        <f t="shared" si="11"/>
        <v>-2.8094969510572719E-3</v>
      </c>
      <c r="EJ4" s="7">
        <f t="shared" si="11"/>
        <v>-1.5687864849578213E-3</v>
      </c>
      <c r="EK4" s="7">
        <f t="shared" si="11"/>
        <v>1.662106118260789E-3</v>
      </c>
      <c r="EL4" s="7">
        <f t="shared" si="11"/>
        <v>3.0359134151091674E-3</v>
      </c>
      <c r="EM4" s="7">
        <f t="shared" si="11"/>
        <v>-2.2500957487552758E-3</v>
      </c>
      <c r="EN4" s="7">
        <f t="shared" si="11"/>
        <v>5.501975273099465E-3</v>
      </c>
      <c r="EO4" s="7">
        <f t="shared" si="11"/>
        <v>-1.0996760356519853E-2</v>
      </c>
      <c r="EP4" s="7">
        <f t="shared" si="11"/>
        <v>5.2860979911756086E-3</v>
      </c>
      <c r="EQ4" s="7">
        <f t="shared" si="11"/>
        <v>4.8369979681408409E-3</v>
      </c>
      <c r="ER4" s="7">
        <f t="shared" si="11"/>
        <v>-4.426281711071089E-3</v>
      </c>
      <c r="ES4" s="7">
        <f t="shared" si="11"/>
        <v>-1.0555158700541569E-3</v>
      </c>
      <c r="ET4" s="7">
        <f t="shared" si="11"/>
        <v>6.510555638568007E-3</v>
      </c>
      <c r="EU4" s="7">
        <f t="shared" si="11"/>
        <v>-1.1881786562605964E-2</v>
      </c>
      <c r="EV4" s="7">
        <f t="shared" si="11"/>
        <v>5.2638074337194593E-3</v>
      </c>
      <c r="EW4" s="7">
        <f t="shared" si="11"/>
        <v>-1.3130644575869699E-3</v>
      </c>
      <c r="EX4" s="7">
        <f t="shared" si="11"/>
        <v>3.2602537653258165E-3</v>
      </c>
      <c r="EY4" s="7">
        <f t="shared" si="11"/>
        <v>3.6971530855779357E-3</v>
      </c>
      <c r="EZ4" s="7">
        <f t="shared" si="11"/>
        <v>-4.3523030052121728E-3</v>
      </c>
      <c r="FA4" s="7">
        <f t="shared" si="11"/>
        <v>1.3487147228472276E-3</v>
      </c>
      <c r="FB4" s="7">
        <f t="shared" si="11"/>
        <v>4.3334983682834088E-3</v>
      </c>
      <c r="FC4" s="7">
        <f t="shared" si="11"/>
        <v>-2.1255956703577421E-3</v>
      </c>
      <c r="FD4" s="7">
        <f t="shared" si="11"/>
        <v>4.0849499606910181E-3</v>
      </c>
      <c r="FE4" s="7">
        <f t="shared" si="11"/>
        <v>-1.7088048417900753E-3</v>
      </c>
      <c r="FF4" s="7">
        <f t="shared" si="11"/>
        <v>-3.2008818323458455E-3</v>
      </c>
      <c r="FG4" s="7">
        <f t="shared" si="11"/>
        <v>-2.4083702829436199E-3</v>
      </c>
      <c r="FH4" s="7">
        <f t="shared" si="11"/>
        <v>3.7305279762941897E-4</v>
      </c>
      <c r="FI4" s="7">
        <f t="shared" si="11"/>
        <v>3.6652087517514208E-3</v>
      </c>
      <c r="FJ4" s="7">
        <f t="shared" si="11"/>
        <v>5.5732779897980055E-4</v>
      </c>
      <c r="FK4" s="7">
        <f t="shared" si="11"/>
        <v>-4.6842507320799176E-3</v>
      </c>
      <c r="FL4" s="7">
        <f t="shared" si="11"/>
        <v>-4.1573171446692824E-3</v>
      </c>
      <c r="FM4" s="7">
        <f t="shared" si="11"/>
        <v>1.283444211923508E-2</v>
      </c>
      <c r="FN4" s="7">
        <f t="shared" si="11"/>
        <v>-4.5815080400974815E-3</v>
      </c>
      <c r="FO4" s="7">
        <f t="shared" si="11"/>
        <v>1.9004947656763888E-3</v>
      </c>
      <c r="FP4" s="7">
        <f t="shared" si="11"/>
        <v>4.3448312403963577E-3</v>
      </c>
      <c r="FQ4" s="7">
        <f t="shared" si="11"/>
        <v>-1.6671063044051655E-2</v>
      </c>
      <c r="FR4" s="7">
        <f t="shared" si="11"/>
        <v>1.726487472503881E-2</v>
      </c>
      <c r="FS4" s="7">
        <f t="shared" si="11"/>
        <v>3.6021686848656991E-3</v>
      </c>
      <c r="FT4" s="7">
        <f t="shared" si="11"/>
        <v>-1.4714305983991503E-4</v>
      </c>
      <c r="FU4" s="7">
        <f t="shared" si="11"/>
        <v>3.3374854806241406E-3</v>
      </c>
      <c r="FV4" s="7">
        <f t="shared" si="11"/>
        <v>-7.8575993462477343E-4</v>
      </c>
      <c r="FW4" s="7">
        <f t="shared" si="11"/>
        <v>-9.4365340658877396E-4</v>
      </c>
      <c r="FX4" s="7">
        <f t="shared" si="11"/>
        <v>-1.0704840266991119E-3</v>
      </c>
      <c r="FY4" s="7">
        <f t="shared" si="11"/>
        <v>-1.1556806959300459E-4</v>
      </c>
      <c r="FZ4" s="7">
        <f t="shared" si="11"/>
        <v>3.514726124554658E-3</v>
      </c>
      <c r="GA4" s="7">
        <f t="shared" si="11"/>
        <v>2.2511792514568179E-3</v>
      </c>
      <c r="GB4" s="7">
        <f t="shared" si="11"/>
        <v>-6.8428393081950713E-4</v>
      </c>
      <c r="GC4" s="7">
        <f t="shared" si="11"/>
        <v>-1.1604202603103862E-3</v>
      </c>
      <c r="GD4" s="7">
        <f t="shared" si="11"/>
        <v>-3.8830277149795238E-3</v>
      </c>
      <c r="GE4" s="7">
        <f t="shared" si="11"/>
        <v>-6.7403570340327235E-3</v>
      </c>
      <c r="GF4" s="7">
        <f t="shared" si="11"/>
        <v>-9.7745196045762612E-3</v>
      </c>
      <c r="GG4" s="7">
        <f t="shared" si="11"/>
        <v>1.9603130091070935E-3</v>
      </c>
      <c r="GH4" s="7">
        <f t="shared" si="11"/>
        <v>8.1564329200028399E-4</v>
      </c>
      <c r="GI4" s="7">
        <f t="shared" si="11"/>
        <v>-2.9509681199563023E-3</v>
      </c>
      <c r="GJ4" s="7">
        <f t="shared" si="11"/>
        <v>8.7882851357776945E-3</v>
      </c>
      <c r="GK4" s="7">
        <f t="shared" si="11"/>
        <v>5.5818584305127282E-3</v>
      </c>
      <c r="GL4" s="7">
        <f t="shared" si="11"/>
        <v>6.8411628396882291E-3</v>
      </c>
      <c r="GM4" s="7">
        <f t="shared" si="11"/>
        <v>1.961512509219109E-3</v>
      </c>
      <c r="GN4" s="7">
        <f t="shared" si="11"/>
        <v>4.432170562870005E-3</v>
      </c>
      <c r="GO4" s="7">
        <f t="shared" si="11"/>
        <v>7.7961362348819929E-4</v>
      </c>
      <c r="GP4" s="7">
        <f t="shared" si="11"/>
        <v>4.1339267630211094E-3</v>
      </c>
      <c r="GQ4" s="7">
        <f t="shared" si="11"/>
        <v>-6.7287650828294901E-3</v>
      </c>
      <c r="GR4" s="7">
        <f t="shared" ref="GR4:IR4" si="12">(GR20-GQ20)/GQ20</f>
        <v>-1.0466133466633294E-3</v>
      </c>
      <c r="GS4" s="7">
        <f t="shared" si="12"/>
        <v>4.1960520623204713E-3</v>
      </c>
      <c r="GT4" s="7">
        <f t="shared" si="12"/>
        <v>-7.1735564645059157E-3</v>
      </c>
      <c r="GU4" s="7">
        <f t="shared" si="12"/>
        <v>3.3983374287656193E-3</v>
      </c>
      <c r="GV4" s="7">
        <f t="shared" si="12"/>
        <v>4.5591913297207166E-3</v>
      </c>
      <c r="GW4" s="7">
        <f t="shared" si="12"/>
        <v>1.8620814855156607E-3</v>
      </c>
      <c r="GX4" s="7">
        <f t="shared" si="12"/>
        <v>4.6543172805119278E-3</v>
      </c>
      <c r="GY4" s="7">
        <f t="shared" si="12"/>
        <v>-1.7520986534605822E-3</v>
      </c>
      <c r="GZ4" s="7">
        <f t="shared" si="12"/>
        <v>1.1305384770252007E-3</v>
      </c>
      <c r="HA4" s="7">
        <f t="shared" si="12"/>
        <v>8.6628302704043882E-4</v>
      </c>
      <c r="HB4" s="7">
        <f t="shared" si="12"/>
        <v>-5.1519835136480708E-5</v>
      </c>
      <c r="HC4" s="7">
        <f t="shared" si="12"/>
        <v>6.0796537688692686E-4</v>
      </c>
      <c r="HD4" s="7">
        <f t="shared" si="12"/>
        <v>9.6340006590871826E-3</v>
      </c>
      <c r="HE4" s="7">
        <f t="shared" si="12"/>
        <v>-4.5899866890344274E-5</v>
      </c>
      <c r="HF4" s="7">
        <f t="shared" si="12"/>
        <v>4.4371907992038089E-4</v>
      </c>
      <c r="HG4" s="7">
        <f t="shared" si="12"/>
        <v>-2.2532971038504083E-3</v>
      </c>
      <c r="HH4" s="7">
        <f t="shared" si="12"/>
        <v>-6.6423115244114244E-4</v>
      </c>
      <c r="HI4" s="7">
        <f t="shared" si="12"/>
        <v>6.2786000971445663E-3</v>
      </c>
      <c r="HJ4" s="7">
        <f t="shared" si="12"/>
        <v>-9.1457373242653515E-5</v>
      </c>
      <c r="HK4" s="7">
        <f t="shared" si="12"/>
        <v>2.8456007520513498E-4</v>
      </c>
      <c r="HL4" s="7">
        <f t="shared" si="12"/>
        <v>1.8745142264962101E-3</v>
      </c>
      <c r="HM4" s="7">
        <f t="shared" si="12"/>
        <v>2.3172092079910434E-3</v>
      </c>
      <c r="HN4" s="7">
        <f t="shared" si="12"/>
        <v>4.7046444452316847E-4</v>
      </c>
      <c r="HO4" s="7">
        <f t="shared" si="12"/>
        <v>-4.2473580421709334E-4</v>
      </c>
      <c r="HP4" s="7">
        <f t="shared" si="12"/>
        <v>2.9339457523555265E-4</v>
      </c>
      <c r="HQ4" s="7">
        <f t="shared" si="12"/>
        <v>7.2164010033174113E-3</v>
      </c>
      <c r="HR4" s="7">
        <f t="shared" si="12"/>
        <v>6.4668049063367067E-3</v>
      </c>
      <c r="HS4" s="7">
        <f t="shared" si="12"/>
        <v>-1.5878558707765642E-2</v>
      </c>
      <c r="HT4" s="7">
        <f t="shared" si="12"/>
        <v>-1.3260609501409235E-2</v>
      </c>
      <c r="HU4" s="7">
        <f t="shared" si="12"/>
        <v>-5.0138703380252702E-3</v>
      </c>
      <c r="HV4" s="7">
        <f t="shared" si="12"/>
        <v>-2.338861237892636E-3</v>
      </c>
      <c r="HW4" s="7">
        <f t="shared" si="12"/>
        <v>5.1751530551516066E-4</v>
      </c>
      <c r="HX4" s="7">
        <f t="shared" si="12"/>
        <v>3.5638361152635118E-3</v>
      </c>
      <c r="HY4" s="7">
        <f t="shared" si="12"/>
        <v>9.4887125038655065E-3</v>
      </c>
      <c r="HZ4" s="7">
        <f t="shared" si="12"/>
        <v>-3.3850536860323814E-3</v>
      </c>
      <c r="IA4" s="7">
        <f t="shared" si="12"/>
        <v>-1.4293179233393599E-3</v>
      </c>
      <c r="IB4" s="7">
        <f t="shared" si="12"/>
        <v>-8.0033244578514432E-4</v>
      </c>
      <c r="IC4" s="7">
        <f t="shared" si="12"/>
        <v>1.5095269635402139E-3</v>
      </c>
      <c r="ID4" s="7">
        <f t="shared" si="12"/>
        <v>1.060715585700593E-2</v>
      </c>
      <c r="IE4" s="7">
        <f t="shared" si="12"/>
        <v>3.0285198299564884E-3</v>
      </c>
      <c r="IF4" s="7">
        <f t="shared" si="12"/>
        <v>4.4253829852874977E-3</v>
      </c>
      <c r="IG4" s="7">
        <f t="shared" si="12"/>
        <v>-9.8289005931580294E-3</v>
      </c>
      <c r="IH4" s="7">
        <f t="shared" si="12"/>
        <v>2.5121283931532064E-3</v>
      </c>
      <c r="II4" s="7">
        <f t="shared" si="12"/>
        <v>3.2413513239321662E-3</v>
      </c>
      <c r="IJ4" s="7">
        <f t="shared" si="12"/>
        <v>3.8780659220645636E-3</v>
      </c>
      <c r="IK4" s="7">
        <f t="shared" si="12"/>
        <v>-3.8076818470278652E-3</v>
      </c>
      <c r="IL4" s="7">
        <f t="shared" si="12"/>
        <v>2.8009505030587812E-3</v>
      </c>
      <c r="IM4" s="7">
        <f t="shared" si="12"/>
        <v>1.1908603234783956E-2</v>
      </c>
      <c r="IN4" s="7">
        <f t="shared" si="12"/>
        <v>-1.6706027722140828E-2</v>
      </c>
      <c r="IO4" s="7">
        <f t="shared" si="12"/>
        <v>1.5576150349880675E-2</v>
      </c>
      <c r="IP4" s="7">
        <f t="shared" si="12"/>
        <v>-1.6185444076895854E-2</v>
      </c>
      <c r="IQ4" s="7">
        <f t="shared" si="12"/>
        <v>-6.1364316396445755E-4</v>
      </c>
      <c r="IR4" s="7">
        <f t="shared" si="12"/>
        <v>-3.7754615298737594E-3</v>
      </c>
    </row>
    <row r="5" spans="1:252" ht="13.5" x14ac:dyDescent="0.3">
      <c r="D5" s="6" t="s">
        <v>45</v>
      </c>
      <c r="E5" s="7">
        <f>F5*(SQRT(COUNTA(F5:IR5)))</f>
        <v>0.13025664616351257</v>
      </c>
      <c r="F5" s="7">
        <f t="shared" si="4"/>
        <v>8.2880319230170339E-3</v>
      </c>
      <c r="G5" s="7">
        <f>(G10-F10)/F10</f>
        <v>1.2875169621010641E-2</v>
      </c>
      <c r="H5" s="7">
        <f t="shared" ref="H5:BS5" si="13">(H10-G10)/G10</f>
        <v>-1.9832060424490438E-3</v>
      </c>
      <c r="I5" s="7">
        <f t="shared" si="13"/>
        <v>4.6507694909521148E-3</v>
      </c>
      <c r="J5" s="7">
        <f t="shared" si="13"/>
        <v>6.3125999494992001E-3</v>
      </c>
      <c r="K5" s="7">
        <f t="shared" si="13"/>
        <v>-2.1746403479424984E-3</v>
      </c>
      <c r="L5" s="7">
        <f t="shared" si="13"/>
        <v>2.1689019279128772E-3</v>
      </c>
      <c r="M5" s="7">
        <f t="shared" si="13"/>
        <v>-3.8370257300282002E-3</v>
      </c>
      <c r="N5" s="7">
        <f t="shared" si="13"/>
        <v>-1.1922753988245067E-2</v>
      </c>
      <c r="O5" s="7">
        <f t="shared" si="13"/>
        <v>7.4672841604350492E-3</v>
      </c>
      <c r="P5" s="7">
        <f t="shared" si="13"/>
        <v>-7.1694413107432355E-4</v>
      </c>
      <c r="Q5" s="7">
        <f t="shared" si="13"/>
        <v>3.3551736144083223E-3</v>
      </c>
      <c r="R5" s="7">
        <f t="shared" si="13"/>
        <v>-1.3565096690748154E-3</v>
      </c>
      <c r="S5" s="7">
        <f t="shared" si="13"/>
        <v>2.569286496504143E-3</v>
      </c>
      <c r="T5" s="7">
        <f t="shared" si="13"/>
        <v>1.1332605133806625E-2</v>
      </c>
      <c r="U5" s="7">
        <f t="shared" si="13"/>
        <v>-1.7135557840296366E-3</v>
      </c>
      <c r="V5" s="7">
        <f t="shared" si="13"/>
        <v>-7.9791107504732939E-3</v>
      </c>
      <c r="W5" s="7">
        <f t="shared" si="13"/>
        <v>6.3968791619039862E-3</v>
      </c>
      <c r="X5" s="7">
        <f t="shared" si="13"/>
        <v>1.8756056643290588E-3</v>
      </c>
      <c r="Y5" s="7">
        <f t="shared" si="13"/>
        <v>3.4321729815186939E-4</v>
      </c>
      <c r="Z5" s="7">
        <f t="shared" si="13"/>
        <v>1.5127570647314419E-2</v>
      </c>
      <c r="AA5" s="7">
        <f t="shared" si="13"/>
        <v>-3.0213955774962826E-3</v>
      </c>
      <c r="AB5" s="7">
        <f t="shared" si="13"/>
        <v>4.9721600131495472E-3</v>
      </c>
      <c r="AC5" s="7">
        <f t="shared" si="13"/>
        <v>-4.0684480608427394E-3</v>
      </c>
      <c r="AD5" s="7">
        <f t="shared" si="13"/>
        <v>6.4252576261444256E-3</v>
      </c>
      <c r="AE5" s="7">
        <f t="shared" si="13"/>
        <v>7.9038081057376548E-3</v>
      </c>
      <c r="AF5" s="7">
        <f t="shared" si="13"/>
        <v>-2.3171336348642236E-3</v>
      </c>
      <c r="AG5" s="7">
        <f t="shared" si="13"/>
        <v>-6.2271805273833537E-3</v>
      </c>
      <c r="AH5" s="7">
        <f t="shared" si="13"/>
        <v>1.8165860429040605E-3</v>
      </c>
      <c r="AI5" s="7">
        <f t="shared" si="13"/>
        <v>-2.3532048408784743E-3</v>
      </c>
      <c r="AJ5" s="7">
        <f t="shared" si="13"/>
        <v>-1.0170218414630448E-2</v>
      </c>
      <c r="AK5" s="7">
        <f t="shared" si="13"/>
        <v>-6.4990664039530363E-4</v>
      </c>
      <c r="AL5" s="7">
        <f t="shared" si="13"/>
        <v>8.216859012738234E-3</v>
      </c>
      <c r="AM5" s="7">
        <f t="shared" si="13"/>
        <v>4.5459199344731653E-3</v>
      </c>
      <c r="AN5" s="7">
        <f t="shared" si="13"/>
        <v>-4.9941904315389145E-4</v>
      </c>
      <c r="AO5" s="7">
        <f t="shared" si="13"/>
        <v>-7.4338448987915813E-3</v>
      </c>
      <c r="AP5" s="7">
        <f t="shared" si="13"/>
        <v>6.914194131667644E-3</v>
      </c>
      <c r="AQ5" s="7">
        <f t="shared" si="13"/>
        <v>-5.8361987164444358E-3</v>
      </c>
      <c r="AR5" s="7">
        <f t="shared" si="13"/>
        <v>-3.191805987458577E-3</v>
      </c>
      <c r="AS5" s="7">
        <f t="shared" si="13"/>
        <v>1.0810699503737413E-2</v>
      </c>
      <c r="AT5" s="7">
        <f t="shared" si="13"/>
        <v>-1.6806551499347878E-3</v>
      </c>
      <c r="AU5" s="7">
        <f t="shared" si="13"/>
        <v>2.4180959280080852E-3</v>
      </c>
      <c r="AV5" s="7">
        <f t="shared" si="13"/>
        <v>7.6032082078006952E-3</v>
      </c>
      <c r="AW5" s="7">
        <f t="shared" si="13"/>
        <v>1.6212940047477097E-2</v>
      </c>
      <c r="AX5" s="7">
        <f t="shared" si="13"/>
        <v>-1.3469184890656018E-2</v>
      </c>
      <c r="AY5" s="7">
        <f t="shared" si="13"/>
        <v>-1.5517154516601112E-3</v>
      </c>
      <c r="AZ5" s="7">
        <f t="shared" si="13"/>
        <v>1.7862368933606529E-2</v>
      </c>
      <c r="BA5" s="7">
        <f t="shared" si="13"/>
        <v>-3.76756129723091E-3</v>
      </c>
      <c r="BB5" s="7">
        <f t="shared" si="13"/>
        <v>7.2252465640271343E-3</v>
      </c>
      <c r="BC5" s="7">
        <f t="shared" si="13"/>
        <v>-2.3022122975683902E-3</v>
      </c>
      <c r="BD5" s="7">
        <f t="shared" si="13"/>
        <v>-1.3201418186860023E-2</v>
      </c>
      <c r="BE5" s="7">
        <f t="shared" si="13"/>
        <v>-2.5290793950281331E-3</v>
      </c>
      <c r="BF5" s="7">
        <f t="shared" si="13"/>
        <v>1.260702894686532E-2</v>
      </c>
      <c r="BG5" s="7">
        <f t="shared" si="13"/>
        <v>-9.1015679338645582E-3</v>
      </c>
      <c r="BH5" s="7">
        <f t="shared" si="13"/>
        <v>6.2872270019854216E-3</v>
      </c>
      <c r="BI5" s="7">
        <f t="shared" si="13"/>
        <v>4.4443115801222049E-3</v>
      </c>
      <c r="BJ5" s="7">
        <f t="shared" si="13"/>
        <v>-1.0912806674669392E-2</v>
      </c>
      <c r="BK5" s="7">
        <f t="shared" si="13"/>
        <v>4.0120763498092882E-5</v>
      </c>
      <c r="BL5" s="7">
        <f t="shared" si="13"/>
        <v>4.6638516393689034E-3</v>
      </c>
      <c r="BM5" s="7">
        <f t="shared" si="13"/>
        <v>-3.7936267071319728E-3</v>
      </c>
      <c r="BN5" s="7">
        <f t="shared" si="13"/>
        <v>1.3999679320158763E-2</v>
      </c>
      <c r="BO5" s="7">
        <f t="shared" si="13"/>
        <v>-7.7086524682509533E-4</v>
      </c>
      <c r="BP5" s="7">
        <f t="shared" si="13"/>
        <v>-2.9849565311996264E-2</v>
      </c>
      <c r="BQ5" s="7">
        <f t="shared" si="13"/>
        <v>1.532281907247497E-2</v>
      </c>
      <c r="BR5" s="7">
        <f t="shared" si="13"/>
        <v>-2.6859587115430961E-2</v>
      </c>
      <c r="BS5" s="7">
        <f t="shared" si="13"/>
        <v>-1.2876997843515488E-2</v>
      </c>
      <c r="BT5" s="7">
        <f t="shared" ref="BT5:EE5" si="14">(BT10-BS10)/BS10</f>
        <v>7.8813408732190809E-3</v>
      </c>
      <c r="BU5" s="7">
        <f t="shared" si="14"/>
        <v>-2.1623471578357884E-2</v>
      </c>
      <c r="BV5" s="7">
        <f t="shared" si="14"/>
        <v>1.6207678772074841E-2</v>
      </c>
      <c r="BW5" s="7">
        <f t="shared" si="14"/>
        <v>7.7711829931050788E-3</v>
      </c>
      <c r="BX5" s="7">
        <f t="shared" si="14"/>
        <v>-4.3058833271228921E-3</v>
      </c>
      <c r="BY5" s="7">
        <f t="shared" si="14"/>
        <v>-1.5905027236060609E-3</v>
      </c>
      <c r="BZ5" s="7">
        <f t="shared" si="14"/>
        <v>4.2376852035026502E-3</v>
      </c>
      <c r="CA5" s="7">
        <f t="shared" si="14"/>
        <v>0</v>
      </c>
      <c r="CB5" s="7">
        <f t="shared" si="14"/>
        <v>-1.5966822187661624E-3</v>
      </c>
      <c r="CC5" s="7">
        <f t="shared" si="14"/>
        <v>-4.5380908864335011E-3</v>
      </c>
      <c r="CD5" s="7">
        <f t="shared" si="14"/>
        <v>5.6958658028979257E-3</v>
      </c>
      <c r="CE5" s="7">
        <f t="shared" si="14"/>
        <v>-7.7070691354182361E-3</v>
      </c>
      <c r="CF5" s="7">
        <f t="shared" si="14"/>
        <v>-8.1850682611695775E-3</v>
      </c>
      <c r="CG5" s="7">
        <f t="shared" si="14"/>
        <v>-2.3503620400721109E-3</v>
      </c>
      <c r="CH5" s="7">
        <f t="shared" si="14"/>
        <v>1.3427569303583542E-2</v>
      </c>
      <c r="CI5" s="7">
        <f t="shared" si="14"/>
        <v>-2.5957238316636705E-3</v>
      </c>
      <c r="CJ5" s="7">
        <f t="shared" si="14"/>
        <v>-3.1355170467581593E-5</v>
      </c>
      <c r="CK5" s="7">
        <f t="shared" si="14"/>
        <v>5.6754638097726157E-3</v>
      </c>
      <c r="CL5" s="7">
        <f t="shared" si="14"/>
        <v>-2.3592259244631913E-2</v>
      </c>
      <c r="CM5" s="7">
        <f t="shared" si="14"/>
        <v>-1.0644186145517632E-5</v>
      </c>
      <c r="CN5" s="7">
        <f t="shared" si="14"/>
        <v>-1.1921615378883887E-3</v>
      </c>
      <c r="CO5" s="7">
        <f t="shared" si="14"/>
        <v>1.12857675707359E-2</v>
      </c>
      <c r="CP5" s="7">
        <f t="shared" si="14"/>
        <v>1.3488734798827878E-3</v>
      </c>
      <c r="CQ5" s="7">
        <f t="shared" si="14"/>
        <v>-4.8725558291763966E-3</v>
      </c>
      <c r="CR5" s="7">
        <f t="shared" si="14"/>
        <v>-3.0985945282839956E-3</v>
      </c>
      <c r="CS5" s="7">
        <f t="shared" si="14"/>
        <v>-6.1421933677041178E-3</v>
      </c>
      <c r="CT5" s="7">
        <f t="shared" si="14"/>
        <v>1.0673839486801798E-2</v>
      </c>
      <c r="CU5" s="7">
        <f t="shared" si="14"/>
        <v>1.827072354177467E-3</v>
      </c>
      <c r="CV5" s="7">
        <f t="shared" si="14"/>
        <v>-1.376765760067474E-2</v>
      </c>
      <c r="CW5" s="7">
        <f t="shared" si="14"/>
        <v>1.2420634072300495E-2</v>
      </c>
      <c r="CX5" s="7">
        <f t="shared" si="14"/>
        <v>-5.5534439798977904E-3</v>
      </c>
      <c r="CY5" s="7">
        <f t="shared" si="14"/>
        <v>-3.9282301730543924E-3</v>
      </c>
      <c r="CZ5" s="7">
        <f t="shared" si="14"/>
        <v>1.1298230654444099E-3</v>
      </c>
      <c r="DA5" s="7">
        <f t="shared" si="14"/>
        <v>-2.9810702042030183E-4</v>
      </c>
      <c r="DB5" s="7">
        <f t="shared" si="14"/>
        <v>1.7785256341987679E-3</v>
      </c>
      <c r="DC5" s="7">
        <f t="shared" si="14"/>
        <v>2.5089034178493739E-3</v>
      </c>
      <c r="DD5" s="7">
        <f t="shared" si="14"/>
        <v>4.0402540800204226E-3</v>
      </c>
      <c r="DE5" s="7">
        <f t="shared" si="14"/>
        <v>-9.9174077438162478E-3</v>
      </c>
      <c r="DF5" s="7">
        <f t="shared" si="14"/>
        <v>6.9551859872204816E-3</v>
      </c>
      <c r="DG5" s="7">
        <f t="shared" si="14"/>
        <v>-7.6063350813073399E-3</v>
      </c>
      <c r="DH5" s="7">
        <f t="shared" si="14"/>
        <v>-4.2699915667666561E-3</v>
      </c>
      <c r="DI5" s="7">
        <f t="shared" si="14"/>
        <v>6.947050183860993E-3</v>
      </c>
      <c r="DJ5" s="7">
        <f t="shared" si="14"/>
        <v>7.4527548576044738E-5</v>
      </c>
      <c r="DK5" s="7">
        <f t="shared" si="14"/>
        <v>-7.6225354511775343E-3</v>
      </c>
      <c r="DL5" s="7">
        <f t="shared" si="14"/>
        <v>3.8619979402679114E-4</v>
      </c>
      <c r="DM5" s="7">
        <f t="shared" si="14"/>
        <v>-4.0213614721400079E-3</v>
      </c>
      <c r="DN5" s="7">
        <f t="shared" si="14"/>
        <v>9.8302055406613003E-3</v>
      </c>
      <c r="DO5" s="7">
        <f t="shared" si="14"/>
        <v>-1.8125599744104817E-4</v>
      </c>
      <c r="DP5" s="7">
        <f t="shared" si="14"/>
        <v>-1.1623814957397458E-3</v>
      </c>
      <c r="DQ5" s="7">
        <f t="shared" si="14"/>
        <v>7.4948752989408762E-3</v>
      </c>
      <c r="DR5" s="7">
        <f t="shared" si="14"/>
        <v>1.4411970413072651E-3</v>
      </c>
      <c r="DS5" s="7">
        <f t="shared" si="14"/>
        <v>-3.2591902816870833E-3</v>
      </c>
      <c r="DT5" s="7">
        <f t="shared" si="14"/>
        <v>-1.1656793426332907E-2</v>
      </c>
      <c r="DU5" s="7">
        <f t="shared" si="14"/>
        <v>2.6854000171865598E-4</v>
      </c>
      <c r="DV5" s="7">
        <f t="shared" si="14"/>
        <v>-2.4162111661172022E-3</v>
      </c>
      <c r="DW5" s="7">
        <f t="shared" si="14"/>
        <v>8.5256631071305104E-3</v>
      </c>
      <c r="DX5" s="7">
        <f t="shared" si="14"/>
        <v>-1.1506276150627586E-2</v>
      </c>
      <c r="DY5" s="7">
        <f t="shared" si="14"/>
        <v>-3.5849260339056795E-3</v>
      </c>
      <c r="DZ5" s="7">
        <f t="shared" si="14"/>
        <v>2.9606189991113863E-2</v>
      </c>
      <c r="EA5" s="7">
        <f t="shared" si="14"/>
        <v>-7.0308388590675334E-3</v>
      </c>
      <c r="EB5" s="7">
        <f t="shared" si="14"/>
        <v>-3.985499565410942E-3</v>
      </c>
      <c r="EC5" s="7">
        <f t="shared" si="14"/>
        <v>4.5016282485154397E-3</v>
      </c>
      <c r="ED5" s="7">
        <f t="shared" si="14"/>
        <v>-1.4726292258631687E-3</v>
      </c>
      <c r="EE5" s="7">
        <f t="shared" si="14"/>
        <v>-4.7002652519893369E-3</v>
      </c>
      <c r="EF5" s="7">
        <f t="shared" ref="EF5:GQ5" si="15">(EF10-EE10)/EE10</f>
        <v>-1.417804641444712E-3</v>
      </c>
      <c r="EG5" s="7">
        <f t="shared" si="15"/>
        <v>4.2487776757691763E-3</v>
      </c>
      <c r="EH5" s="7">
        <f t="shared" si="15"/>
        <v>-7.1222042690712722E-4</v>
      </c>
      <c r="EI5" s="7">
        <f t="shared" si="15"/>
        <v>-1.6275730014360648E-3</v>
      </c>
      <c r="EJ5" s="7">
        <f t="shared" si="15"/>
        <v>-2.269530750543404E-3</v>
      </c>
      <c r="EK5" s="7">
        <f t="shared" si="15"/>
        <v>4.8697658027104726E-3</v>
      </c>
      <c r="EL5" s="7">
        <f t="shared" si="15"/>
        <v>7.6305861097826127E-3</v>
      </c>
      <c r="EM5" s="7">
        <f t="shared" si="15"/>
        <v>-6.3071519728307495E-3</v>
      </c>
      <c r="EN5" s="7">
        <f t="shared" si="15"/>
        <v>6.8991137292363216E-3</v>
      </c>
      <c r="EO5" s="7">
        <f t="shared" si="15"/>
        <v>-1.1310810098561132E-2</v>
      </c>
      <c r="EP5" s="7">
        <f t="shared" si="15"/>
        <v>5.9599965881951891E-3</v>
      </c>
      <c r="EQ5" s="7">
        <f t="shared" si="15"/>
        <v>4.2500874394547925E-3</v>
      </c>
      <c r="ER5" s="7">
        <f t="shared" si="15"/>
        <v>-2.8812056737588846E-3</v>
      </c>
      <c r="ES5" s="7">
        <f t="shared" si="15"/>
        <v>-1.841679103292805E-3</v>
      </c>
      <c r="ET5" s="7">
        <f t="shared" si="15"/>
        <v>3.3932453210328674E-3</v>
      </c>
      <c r="EU5" s="7">
        <f t="shared" si="15"/>
        <v>-9.3421400264201131E-3</v>
      </c>
      <c r="EV5" s="7">
        <f t="shared" si="15"/>
        <v>4.5977747197064886E-3</v>
      </c>
      <c r="EW5" s="7">
        <f t="shared" si="15"/>
        <v>-4.0776451599201799E-3</v>
      </c>
      <c r="EX5" s="7">
        <f t="shared" si="15"/>
        <v>4.2649379451526555E-4</v>
      </c>
      <c r="EY5" s="7">
        <f t="shared" si="15"/>
        <v>5.2969262906595342E-3</v>
      </c>
      <c r="EZ5" s="7">
        <f t="shared" si="15"/>
        <v>-2.459581235091492E-3</v>
      </c>
      <c r="FA5" s="7">
        <f t="shared" si="15"/>
        <v>8.183393026049712E-4</v>
      </c>
      <c r="FB5" s="7">
        <f t="shared" si="15"/>
        <v>2.2193904640542828E-3</v>
      </c>
      <c r="FC5" s="7">
        <f t="shared" si="15"/>
        <v>-3.856790175780615E-3</v>
      </c>
      <c r="FD5" s="7">
        <f t="shared" si="15"/>
        <v>2.7123331383290625E-3</v>
      </c>
      <c r="FE5" s="7">
        <f t="shared" si="15"/>
        <v>1.1350376577913825E-3</v>
      </c>
      <c r="FF5" s="7">
        <f t="shared" si="15"/>
        <v>-4.1747459656483474E-3</v>
      </c>
      <c r="FG5" s="7">
        <f t="shared" si="15"/>
        <v>-4.330570422310471E-3</v>
      </c>
      <c r="FH5" s="7">
        <f t="shared" si="15"/>
        <v>6.166110968624414E-3</v>
      </c>
      <c r="FI5" s="7">
        <f t="shared" si="15"/>
        <v>2.2835172538315054E-3</v>
      </c>
      <c r="FJ5" s="7">
        <f t="shared" si="15"/>
        <v>3.602916242794505E-4</v>
      </c>
      <c r="FK5" s="7">
        <f t="shared" si="15"/>
        <v>-7.1079002563505401E-3</v>
      </c>
      <c r="FL5" s="7">
        <f t="shared" si="15"/>
        <v>-2.2617917231224365E-3</v>
      </c>
      <c r="FM5" s="7">
        <f t="shared" si="15"/>
        <v>9.8910381847538992E-3</v>
      </c>
      <c r="FN5" s="7">
        <f t="shared" si="15"/>
        <v>-7.5176824361530251E-4</v>
      </c>
      <c r="FO5" s="7">
        <f t="shared" si="15"/>
        <v>5.8597268286479957E-3</v>
      </c>
      <c r="FP5" s="7">
        <f t="shared" si="15"/>
        <v>7.5532520068263267E-3</v>
      </c>
      <c r="FQ5" s="7">
        <f t="shared" si="15"/>
        <v>-4.3233691958637757E-2</v>
      </c>
      <c r="FR5" s="7">
        <f t="shared" si="15"/>
        <v>2.2304060847139012E-2</v>
      </c>
      <c r="FS5" s="7">
        <f t="shared" si="15"/>
        <v>1.6141273557173149E-3</v>
      </c>
      <c r="FT5" s="7">
        <f t="shared" si="15"/>
        <v>4.1408751334044772E-3</v>
      </c>
      <c r="FU5" s="7">
        <f t="shared" si="15"/>
        <v>2.8802822889210486E-3</v>
      </c>
      <c r="FV5" s="7">
        <f t="shared" si="15"/>
        <v>1.1551627295752584E-3</v>
      </c>
      <c r="FW5" s="7">
        <f t="shared" si="15"/>
        <v>-4.2554092391074039E-3</v>
      </c>
      <c r="FX5" s="7">
        <f t="shared" si="15"/>
        <v>1.3182233750770832E-3</v>
      </c>
      <c r="FY5" s="7">
        <f t="shared" si="15"/>
        <v>-4.9899140036096523E-3</v>
      </c>
      <c r="FZ5" s="7">
        <f t="shared" si="15"/>
        <v>4.2680324370465211E-3</v>
      </c>
      <c r="GA5" s="7">
        <f t="shared" si="15"/>
        <v>3.1874203144892387E-5</v>
      </c>
      <c r="GB5" s="7">
        <f t="shared" si="15"/>
        <v>-3.6760409251724194E-3</v>
      </c>
      <c r="GC5" s="7">
        <f t="shared" si="15"/>
        <v>-2.1327191102276474E-5</v>
      </c>
      <c r="GD5" s="7">
        <f t="shared" si="15"/>
        <v>5.4278858970941424E-3</v>
      </c>
      <c r="GE5" s="7">
        <f t="shared" si="15"/>
        <v>-4.7303890373764758E-3</v>
      </c>
      <c r="GF5" s="7">
        <f t="shared" si="15"/>
        <v>-1.5729235490952485E-2</v>
      </c>
      <c r="GG5" s="7">
        <f t="shared" si="15"/>
        <v>2.6850869405166825E-3</v>
      </c>
      <c r="GH5" s="7">
        <f t="shared" si="15"/>
        <v>6.3708022891699793E-4</v>
      </c>
      <c r="GI5" s="7">
        <f t="shared" si="15"/>
        <v>9.6256569079195397E-3</v>
      </c>
      <c r="GJ5" s="7">
        <f t="shared" si="15"/>
        <v>4.0828977886084332E-3</v>
      </c>
      <c r="GK5" s="7">
        <f t="shared" si="15"/>
        <v>5.7907454520294806E-3</v>
      </c>
      <c r="GL5" s="7">
        <f t="shared" si="15"/>
        <v>7.0909225607751231E-4</v>
      </c>
      <c r="GM5" s="7">
        <f t="shared" si="15"/>
        <v>-2.4113205152610918E-3</v>
      </c>
      <c r="GN5" s="7">
        <f t="shared" si="15"/>
        <v>6.4351292326612491E-3</v>
      </c>
      <c r="GO5" s="7">
        <f t="shared" si="15"/>
        <v>-1.6643316865579312E-3</v>
      </c>
      <c r="GP5" s="7">
        <f t="shared" si="15"/>
        <v>3.0809812714322968E-3</v>
      </c>
      <c r="GQ5" s="7">
        <f t="shared" si="15"/>
        <v>-6.9109154596231461E-3</v>
      </c>
      <c r="GR5" s="7">
        <f t="shared" ref="GR5:IR5" si="16">(GR10-GQ10)/GQ10</f>
        <v>-4.8617731172545618E-3</v>
      </c>
      <c r="GS5" s="7">
        <f t="shared" si="16"/>
        <v>2.7886877201945743E-3</v>
      </c>
      <c r="GT5" s="7">
        <f t="shared" si="16"/>
        <v>-9.945548915754731E-3</v>
      </c>
      <c r="GU5" s="7">
        <f t="shared" si="16"/>
        <v>2.8946352759550348E-4</v>
      </c>
      <c r="GV5" s="7">
        <f t="shared" si="16"/>
        <v>7.405978371542268E-3</v>
      </c>
      <c r="GW5" s="7">
        <f t="shared" si="16"/>
        <v>-9.5750792603792887E-4</v>
      </c>
      <c r="GX5" s="7">
        <f t="shared" si="16"/>
        <v>5.2926392911910331E-3</v>
      </c>
      <c r="GY5" s="7">
        <f t="shared" si="16"/>
        <v>-8.9511763646572019E-3</v>
      </c>
      <c r="GZ5" s="7">
        <f t="shared" si="16"/>
        <v>1.8491598614733618E-3</v>
      </c>
      <c r="HA5" s="7">
        <f t="shared" si="16"/>
        <v>2.3258543247021346E-3</v>
      </c>
      <c r="HB5" s="7">
        <f t="shared" si="16"/>
        <v>6.0459620850053216E-3</v>
      </c>
      <c r="HC5" s="7">
        <f t="shared" si="16"/>
        <v>-2.3170925249959701E-3</v>
      </c>
      <c r="HD5" s="7">
        <f t="shared" si="16"/>
        <v>3.5738525494188561E-3</v>
      </c>
      <c r="HE5" s="7">
        <f t="shared" si="16"/>
        <v>2.3881732587997745E-3</v>
      </c>
      <c r="HF5" s="7">
        <f t="shared" si="16"/>
        <v>-5.2709811404294798E-4</v>
      </c>
      <c r="HG5" s="7">
        <f t="shared" si="16"/>
        <v>-6.3601556814227404E-3</v>
      </c>
      <c r="HH5" s="7">
        <f t="shared" si="16"/>
        <v>-4.6600004246013915E-3</v>
      </c>
      <c r="HI5" s="7">
        <f t="shared" si="16"/>
        <v>5.4816726566915726E-3</v>
      </c>
      <c r="HJ5" s="7">
        <f t="shared" si="16"/>
        <v>2.3758763695760645E-3</v>
      </c>
      <c r="HK5" s="7">
        <f t="shared" si="16"/>
        <v>2.6453626792233216E-4</v>
      </c>
      <c r="HL5" s="7">
        <f t="shared" si="16"/>
        <v>5.3845340103671133E-3</v>
      </c>
      <c r="HM5" s="7">
        <f t="shared" si="16"/>
        <v>1.1363755931775806E-3</v>
      </c>
      <c r="HN5" s="7">
        <f t="shared" si="16"/>
        <v>-1.5344677183726616E-3</v>
      </c>
      <c r="HO5" s="7">
        <f t="shared" si="16"/>
        <v>-3.9999578951800029E-4</v>
      </c>
      <c r="HP5" s="7">
        <f t="shared" si="16"/>
        <v>-1.2478544275138762E-2</v>
      </c>
      <c r="HQ5" s="7">
        <f t="shared" si="16"/>
        <v>4.659941564119521E-3</v>
      </c>
      <c r="HR5" s="7">
        <f t="shared" si="16"/>
        <v>8.342620601815013E-3</v>
      </c>
      <c r="HS5" s="7">
        <f t="shared" si="16"/>
        <v>-1.3410385153840496E-2</v>
      </c>
      <c r="HT5" s="7">
        <f t="shared" si="16"/>
        <v>-1.653739050647092E-2</v>
      </c>
      <c r="HU5" s="7">
        <f t="shared" si="16"/>
        <v>-2.9182984909467014E-3</v>
      </c>
      <c r="HV5" s="7">
        <f t="shared" si="16"/>
        <v>-1.5776646211429315E-3</v>
      </c>
      <c r="HW5" s="7">
        <f t="shared" si="16"/>
        <v>-2.8006930898074934E-3</v>
      </c>
      <c r="HX5" s="7">
        <f t="shared" si="16"/>
        <v>5.1690599523528712E-3</v>
      </c>
      <c r="HY5" s="7">
        <f t="shared" si="16"/>
        <v>4.8054447210777165E-3</v>
      </c>
      <c r="HZ5" s="7">
        <f t="shared" si="16"/>
        <v>-1.2443059477825287E-3</v>
      </c>
      <c r="IA5" s="7">
        <f t="shared" si="16"/>
        <v>1.5166944727320988E-3</v>
      </c>
      <c r="IB5" s="7">
        <f t="shared" si="16"/>
        <v>-6.1657616338192027E-4</v>
      </c>
      <c r="IC5" s="7">
        <f t="shared" si="16"/>
        <v>-3.1172542185757997E-3</v>
      </c>
      <c r="ID5" s="7">
        <f t="shared" si="16"/>
        <v>5.0053745344784675E-3</v>
      </c>
      <c r="IE5" s="7">
        <f t="shared" si="16"/>
        <v>-3.1330351548147577E-4</v>
      </c>
      <c r="IF5" s="7">
        <f t="shared" si="16"/>
        <v>8.7968616601644661E-3</v>
      </c>
      <c r="IG5" s="7">
        <f t="shared" si="16"/>
        <v>-7.4453383611685917E-3</v>
      </c>
      <c r="IH5" s="7">
        <f t="shared" si="16"/>
        <v>8.6992185813582652E-3</v>
      </c>
      <c r="II5" s="7">
        <f t="shared" si="16"/>
        <v>-3.0387981767211279E-3</v>
      </c>
      <c r="IJ5" s="7">
        <f t="shared" si="16"/>
        <v>2.4363019726532957E-3</v>
      </c>
      <c r="IK5" s="7">
        <f t="shared" si="16"/>
        <v>-3.8543484545133593E-3</v>
      </c>
      <c r="IL5" s="7">
        <f t="shared" si="16"/>
        <v>-3.6435549918852833E-3</v>
      </c>
      <c r="IM5" s="7">
        <f t="shared" si="16"/>
        <v>2.3580936765118351E-2</v>
      </c>
      <c r="IN5" s="7">
        <f t="shared" si="16"/>
        <v>-1.3890059860045476E-2</v>
      </c>
      <c r="IO5" s="7">
        <f t="shared" si="16"/>
        <v>1.6148338142566953E-2</v>
      </c>
      <c r="IP5" s="7">
        <f t="shared" si="16"/>
        <v>-2.0498311965587126E-2</v>
      </c>
      <c r="IQ5" s="7">
        <f t="shared" si="16"/>
        <v>1.6857793239702103E-3</v>
      </c>
      <c r="IR5" s="7">
        <f t="shared" si="16"/>
        <v>-9.5188071476808578E-3</v>
      </c>
    </row>
    <row r="7" spans="1:252" ht="23.25" customHeight="1" x14ac:dyDescent="0.3">
      <c r="A7" s="5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 t="s">
        <v>54</v>
      </c>
      <c r="J7" s="5" t="s">
        <v>55</v>
      </c>
      <c r="K7" s="5" t="s">
        <v>56</v>
      </c>
      <c r="L7" s="5" t="s">
        <v>57</v>
      </c>
      <c r="M7" s="5" t="s">
        <v>58</v>
      </c>
      <c r="N7" s="5" t="s">
        <v>59</v>
      </c>
      <c r="O7" s="5" t="s">
        <v>60</v>
      </c>
      <c r="P7" s="5" t="s">
        <v>61</v>
      </c>
      <c r="Q7" s="5" t="s">
        <v>62</v>
      </c>
      <c r="R7" s="5" t="s">
        <v>63</v>
      </c>
      <c r="S7" s="5" t="s">
        <v>64</v>
      </c>
      <c r="T7" s="5" t="s">
        <v>65</v>
      </c>
      <c r="U7" s="5" t="s">
        <v>66</v>
      </c>
      <c r="V7" s="5" t="s">
        <v>67</v>
      </c>
      <c r="W7" s="5" t="s">
        <v>68</v>
      </c>
      <c r="X7" s="5" t="s">
        <v>69</v>
      </c>
      <c r="Y7" s="5" t="s">
        <v>70</v>
      </c>
      <c r="Z7" s="5" t="s">
        <v>71</v>
      </c>
      <c r="AA7" s="5" t="s">
        <v>72</v>
      </c>
      <c r="AB7" s="5" t="s">
        <v>73</v>
      </c>
      <c r="AC7" s="5" t="s">
        <v>74</v>
      </c>
      <c r="AD7" s="5" t="s">
        <v>75</v>
      </c>
      <c r="AE7" s="5" t="s">
        <v>76</v>
      </c>
      <c r="AF7" s="5" t="s">
        <v>77</v>
      </c>
      <c r="AG7" s="5" t="s">
        <v>78</v>
      </c>
      <c r="AH7" s="5" t="s">
        <v>79</v>
      </c>
      <c r="AI7" s="5" t="s">
        <v>80</v>
      </c>
      <c r="AJ7" s="5" t="s">
        <v>81</v>
      </c>
      <c r="AK7" s="5" t="s">
        <v>82</v>
      </c>
      <c r="AL7" s="5" t="s">
        <v>83</v>
      </c>
      <c r="AM7" s="5" t="s">
        <v>84</v>
      </c>
      <c r="AN7" s="5" t="s">
        <v>85</v>
      </c>
      <c r="AO7" s="5" t="s">
        <v>86</v>
      </c>
      <c r="AP7" s="5" t="s">
        <v>87</v>
      </c>
      <c r="AQ7" s="5" t="s">
        <v>88</v>
      </c>
      <c r="AR7" s="5" t="s">
        <v>89</v>
      </c>
      <c r="AS7" s="5" t="s">
        <v>90</v>
      </c>
      <c r="AT7" s="5" t="s">
        <v>91</v>
      </c>
      <c r="AU7" s="5" t="s">
        <v>92</v>
      </c>
      <c r="AV7" s="5" t="s">
        <v>93</v>
      </c>
      <c r="AW7" s="5" t="s">
        <v>94</v>
      </c>
      <c r="AX7" s="5" t="s">
        <v>95</v>
      </c>
      <c r="AY7" s="5" t="s">
        <v>96</v>
      </c>
      <c r="AZ7" s="5" t="s">
        <v>97</v>
      </c>
      <c r="BA7" s="5" t="s">
        <v>98</v>
      </c>
      <c r="BB7" s="5" t="s">
        <v>99</v>
      </c>
      <c r="BC7" s="5" t="s">
        <v>100</v>
      </c>
      <c r="BD7" s="5" t="s">
        <v>101</v>
      </c>
      <c r="BE7" s="5" t="s">
        <v>102</v>
      </c>
      <c r="BF7" s="5" t="s">
        <v>103</v>
      </c>
      <c r="BG7" s="5" t="s">
        <v>104</v>
      </c>
      <c r="BH7" s="5" t="s">
        <v>105</v>
      </c>
      <c r="BI7" s="5" t="s">
        <v>106</v>
      </c>
      <c r="BJ7" s="5" t="s">
        <v>107</v>
      </c>
      <c r="BK7" s="5" t="s">
        <v>108</v>
      </c>
      <c r="BL7" s="5" t="s">
        <v>109</v>
      </c>
      <c r="BM7" s="5" t="s">
        <v>110</v>
      </c>
      <c r="BN7" s="5" t="s">
        <v>111</v>
      </c>
      <c r="BO7" s="5" t="s">
        <v>112</v>
      </c>
      <c r="BP7" s="5" t="s">
        <v>113</v>
      </c>
      <c r="BQ7" s="5" t="s">
        <v>114</v>
      </c>
      <c r="BR7" s="5" t="s">
        <v>115</v>
      </c>
      <c r="BS7" s="5" t="s">
        <v>116</v>
      </c>
      <c r="BT7" s="5" t="s">
        <v>117</v>
      </c>
      <c r="BU7" s="5" t="s">
        <v>118</v>
      </c>
      <c r="BV7" s="5" t="s">
        <v>119</v>
      </c>
      <c r="BW7" s="5" t="s">
        <v>120</v>
      </c>
      <c r="BX7" s="5" t="s">
        <v>121</v>
      </c>
      <c r="BY7" s="5" t="s">
        <v>122</v>
      </c>
      <c r="BZ7" s="5" t="s">
        <v>123</v>
      </c>
      <c r="CA7" s="5" t="s">
        <v>124</v>
      </c>
      <c r="CB7" s="5" t="s">
        <v>125</v>
      </c>
      <c r="CC7" s="5" t="s">
        <v>126</v>
      </c>
      <c r="CD7" s="5" t="s">
        <v>127</v>
      </c>
      <c r="CE7" s="5" t="s">
        <v>128</v>
      </c>
      <c r="CF7" s="5" t="s">
        <v>129</v>
      </c>
      <c r="CG7" s="5" t="s">
        <v>130</v>
      </c>
      <c r="CH7" s="5" t="s">
        <v>131</v>
      </c>
      <c r="CI7" s="5" t="s">
        <v>132</v>
      </c>
      <c r="CJ7" s="5" t="s">
        <v>133</v>
      </c>
      <c r="CK7" s="5" t="s">
        <v>134</v>
      </c>
      <c r="CL7" s="5" t="s">
        <v>135</v>
      </c>
      <c r="CM7" s="5" t="s">
        <v>136</v>
      </c>
      <c r="CN7" s="5" t="s">
        <v>137</v>
      </c>
      <c r="CO7" s="5" t="s">
        <v>138</v>
      </c>
      <c r="CP7" s="5" t="s">
        <v>139</v>
      </c>
      <c r="CQ7" s="5" t="s">
        <v>140</v>
      </c>
      <c r="CR7" s="5" t="s">
        <v>141</v>
      </c>
      <c r="CS7" s="5" t="s">
        <v>142</v>
      </c>
      <c r="CT7" s="5" t="s">
        <v>143</v>
      </c>
      <c r="CU7" s="5" t="s">
        <v>144</v>
      </c>
      <c r="CV7" s="5" t="s">
        <v>145</v>
      </c>
      <c r="CW7" s="5" t="s">
        <v>146</v>
      </c>
      <c r="CX7" s="5" t="s">
        <v>147</v>
      </c>
      <c r="CY7" s="5" t="s">
        <v>148</v>
      </c>
      <c r="CZ7" s="5" t="s">
        <v>149</v>
      </c>
      <c r="DA7" s="5" t="s">
        <v>150</v>
      </c>
      <c r="DB7" s="5" t="s">
        <v>151</v>
      </c>
      <c r="DC7" s="5" t="s">
        <v>152</v>
      </c>
      <c r="DD7" s="5" t="s">
        <v>153</v>
      </c>
      <c r="DE7" s="5" t="s">
        <v>154</v>
      </c>
      <c r="DF7" s="5" t="s">
        <v>155</v>
      </c>
      <c r="DG7" s="5" t="s">
        <v>156</v>
      </c>
      <c r="DH7" s="5" t="s">
        <v>157</v>
      </c>
      <c r="DI7" s="5" t="s">
        <v>158</v>
      </c>
      <c r="DJ7" s="5" t="s">
        <v>159</v>
      </c>
      <c r="DK7" s="5" t="s">
        <v>160</v>
      </c>
      <c r="DL7" s="5" t="s">
        <v>161</v>
      </c>
      <c r="DM7" s="5" t="s">
        <v>162</v>
      </c>
      <c r="DN7" s="5" t="s">
        <v>163</v>
      </c>
      <c r="DO7" s="5" t="s">
        <v>164</v>
      </c>
      <c r="DP7" s="5" t="s">
        <v>165</v>
      </c>
      <c r="DQ7" s="5" t="s">
        <v>166</v>
      </c>
      <c r="DR7" s="5" t="s">
        <v>167</v>
      </c>
      <c r="DS7" s="5" t="s">
        <v>168</v>
      </c>
      <c r="DT7" s="5" t="s">
        <v>169</v>
      </c>
      <c r="DU7" s="5" t="s">
        <v>170</v>
      </c>
      <c r="DV7" s="5" t="s">
        <v>171</v>
      </c>
      <c r="DW7" s="5" t="s">
        <v>172</v>
      </c>
      <c r="DX7" s="5" t="s">
        <v>173</v>
      </c>
      <c r="DY7" s="5" t="s">
        <v>174</v>
      </c>
      <c r="DZ7" s="5" t="s">
        <v>175</v>
      </c>
      <c r="EA7" s="5" t="s">
        <v>176</v>
      </c>
      <c r="EB7" s="5" t="s">
        <v>177</v>
      </c>
      <c r="EC7" s="5" t="s">
        <v>178</v>
      </c>
      <c r="ED7" s="5" t="s">
        <v>179</v>
      </c>
      <c r="EE7" s="5" t="s">
        <v>180</v>
      </c>
      <c r="EF7" s="5" t="s">
        <v>181</v>
      </c>
      <c r="EG7" s="5" t="s">
        <v>182</v>
      </c>
      <c r="EH7" s="5" t="s">
        <v>183</v>
      </c>
      <c r="EI7" s="5" t="s">
        <v>184</v>
      </c>
      <c r="EJ7" s="5" t="s">
        <v>185</v>
      </c>
      <c r="EK7" s="5" t="s">
        <v>186</v>
      </c>
      <c r="EL7" s="5" t="s">
        <v>187</v>
      </c>
      <c r="EM7" s="5" t="s">
        <v>188</v>
      </c>
      <c r="EN7" s="5" t="s">
        <v>189</v>
      </c>
      <c r="EO7" s="5" t="s">
        <v>190</v>
      </c>
      <c r="EP7" s="5" t="s">
        <v>191</v>
      </c>
      <c r="EQ7" s="5" t="s">
        <v>192</v>
      </c>
      <c r="ER7" s="5" t="s">
        <v>193</v>
      </c>
      <c r="ES7" s="5" t="s">
        <v>194</v>
      </c>
      <c r="ET7" s="5" t="s">
        <v>195</v>
      </c>
      <c r="EU7" s="5" t="s">
        <v>196</v>
      </c>
      <c r="EV7" s="5" t="s">
        <v>197</v>
      </c>
      <c r="EW7" s="5" t="s">
        <v>198</v>
      </c>
      <c r="EX7" s="5" t="s">
        <v>199</v>
      </c>
      <c r="EY7" s="5" t="s">
        <v>200</v>
      </c>
      <c r="EZ7" s="5" t="s">
        <v>201</v>
      </c>
      <c r="FA7" s="5" t="s">
        <v>202</v>
      </c>
      <c r="FB7" s="5" t="s">
        <v>203</v>
      </c>
      <c r="FC7" s="5" t="s">
        <v>204</v>
      </c>
      <c r="FD7" s="5" t="s">
        <v>205</v>
      </c>
      <c r="FE7" s="5" t="s">
        <v>206</v>
      </c>
      <c r="FF7" s="5" t="s">
        <v>207</v>
      </c>
      <c r="FG7" s="5" t="s">
        <v>208</v>
      </c>
      <c r="FH7" s="5" t="s">
        <v>209</v>
      </c>
      <c r="FI7" s="5" t="s">
        <v>210</v>
      </c>
      <c r="FJ7" s="5" t="s">
        <v>211</v>
      </c>
      <c r="FK7" s="5" t="s">
        <v>212</v>
      </c>
      <c r="FL7" s="5" t="s">
        <v>213</v>
      </c>
      <c r="FM7" s="5" t="s">
        <v>214</v>
      </c>
      <c r="FN7" s="5" t="s">
        <v>215</v>
      </c>
      <c r="FO7" s="5" t="s">
        <v>216</v>
      </c>
      <c r="FP7" s="5" t="s">
        <v>217</v>
      </c>
      <c r="FQ7" s="5" t="s">
        <v>218</v>
      </c>
      <c r="FR7" s="5" t="s">
        <v>219</v>
      </c>
      <c r="FS7" s="5" t="s">
        <v>220</v>
      </c>
      <c r="FT7" s="5" t="s">
        <v>221</v>
      </c>
      <c r="FU7" s="5" t="s">
        <v>222</v>
      </c>
      <c r="FV7" s="5" t="s">
        <v>223</v>
      </c>
      <c r="FW7" s="5" t="s">
        <v>224</v>
      </c>
      <c r="FX7" s="5" t="s">
        <v>225</v>
      </c>
      <c r="FY7" s="5" t="s">
        <v>226</v>
      </c>
      <c r="FZ7" s="5" t="s">
        <v>227</v>
      </c>
      <c r="GA7" s="5" t="s">
        <v>228</v>
      </c>
      <c r="GB7" s="5" t="s">
        <v>229</v>
      </c>
      <c r="GC7" s="5" t="s">
        <v>230</v>
      </c>
      <c r="GD7" s="5" t="s">
        <v>231</v>
      </c>
      <c r="GE7" s="5" t="s">
        <v>232</v>
      </c>
      <c r="GF7" s="5" t="s">
        <v>233</v>
      </c>
      <c r="GG7" s="5" t="s">
        <v>234</v>
      </c>
      <c r="GH7" s="5" t="s">
        <v>235</v>
      </c>
      <c r="GI7" s="5" t="s">
        <v>236</v>
      </c>
      <c r="GJ7" s="5" t="s">
        <v>237</v>
      </c>
      <c r="GK7" s="5" t="s">
        <v>238</v>
      </c>
      <c r="GL7" s="5" t="s">
        <v>239</v>
      </c>
      <c r="GM7" s="5" t="s">
        <v>240</v>
      </c>
      <c r="GN7" s="5" t="s">
        <v>241</v>
      </c>
      <c r="GO7" s="5" t="s">
        <v>242</v>
      </c>
      <c r="GP7" s="5" t="s">
        <v>243</v>
      </c>
      <c r="GQ7" s="5" t="s">
        <v>244</v>
      </c>
      <c r="GR7" s="5" t="s">
        <v>245</v>
      </c>
      <c r="GS7" s="5" t="s">
        <v>246</v>
      </c>
      <c r="GT7" s="5" t="s">
        <v>247</v>
      </c>
      <c r="GU7" s="5" t="s">
        <v>248</v>
      </c>
      <c r="GV7" s="5" t="s">
        <v>249</v>
      </c>
      <c r="GW7" s="5" t="s">
        <v>250</v>
      </c>
      <c r="GX7" s="5" t="s">
        <v>251</v>
      </c>
      <c r="GY7" s="5" t="s">
        <v>252</v>
      </c>
      <c r="GZ7" s="5" t="s">
        <v>253</v>
      </c>
      <c r="HA7" s="5" t="s">
        <v>254</v>
      </c>
      <c r="HB7" s="5" t="s">
        <v>255</v>
      </c>
      <c r="HC7" s="5" t="s">
        <v>256</v>
      </c>
      <c r="HD7" s="5" t="s">
        <v>257</v>
      </c>
      <c r="HE7" s="5" t="s">
        <v>258</v>
      </c>
      <c r="HF7" s="5" t="s">
        <v>259</v>
      </c>
      <c r="HG7" s="5" t="s">
        <v>260</v>
      </c>
      <c r="HH7" s="5" t="s">
        <v>261</v>
      </c>
      <c r="HI7" s="5" t="s">
        <v>262</v>
      </c>
      <c r="HJ7" s="5" t="s">
        <v>263</v>
      </c>
      <c r="HK7" s="5" t="s">
        <v>264</v>
      </c>
      <c r="HL7" s="5" t="s">
        <v>265</v>
      </c>
      <c r="HM7" s="5" t="s">
        <v>266</v>
      </c>
      <c r="HN7" s="5" t="s">
        <v>267</v>
      </c>
      <c r="HO7" s="5" t="s">
        <v>268</v>
      </c>
      <c r="HP7" s="5" t="s">
        <v>269</v>
      </c>
      <c r="HQ7" s="5" t="s">
        <v>270</v>
      </c>
      <c r="HR7" s="5" t="s">
        <v>271</v>
      </c>
      <c r="HS7" s="5" t="s">
        <v>272</v>
      </c>
      <c r="HT7" s="5" t="s">
        <v>273</v>
      </c>
      <c r="HU7" s="5" t="s">
        <v>274</v>
      </c>
      <c r="HV7" s="5" t="s">
        <v>275</v>
      </c>
      <c r="HW7" s="5" t="s">
        <v>276</v>
      </c>
      <c r="HX7" s="5" t="s">
        <v>277</v>
      </c>
      <c r="HY7" s="5" t="s">
        <v>278</v>
      </c>
      <c r="HZ7" s="5" t="s">
        <v>279</v>
      </c>
      <c r="IA7" s="5" t="s">
        <v>280</v>
      </c>
      <c r="IB7" s="5" t="s">
        <v>281</v>
      </c>
      <c r="IC7" s="5" t="s">
        <v>282</v>
      </c>
      <c r="ID7" s="5" t="s">
        <v>283</v>
      </c>
      <c r="IE7" s="5" t="s">
        <v>284</v>
      </c>
      <c r="IF7" s="5" t="s">
        <v>285</v>
      </c>
      <c r="IG7" s="5" t="s">
        <v>286</v>
      </c>
      <c r="IH7" s="5" t="s">
        <v>287</v>
      </c>
      <c r="II7" s="5" t="s">
        <v>288</v>
      </c>
      <c r="IJ7" s="5" t="s">
        <v>289</v>
      </c>
      <c r="IK7" s="5" t="s">
        <v>290</v>
      </c>
      <c r="IL7" s="5" t="s">
        <v>291</v>
      </c>
      <c r="IM7" s="5" t="s">
        <v>292</v>
      </c>
      <c r="IN7" s="5" t="s">
        <v>293</v>
      </c>
      <c r="IO7" s="5" t="s">
        <v>294</v>
      </c>
      <c r="IP7" s="5" t="s">
        <v>295</v>
      </c>
      <c r="IQ7" s="5" t="s">
        <v>296</v>
      </c>
      <c r="IR7" s="5" t="s">
        <v>297</v>
      </c>
    </row>
    <row r="8" spans="1:252" ht="23.25" customHeight="1" x14ac:dyDescent="0.3">
      <c r="A8" s="4" t="s">
        <v>298</v>
      </c>
      <c r="B8" s="4">
        <v>1</v>
      </c>
      <c r="C8" s="4" t="s">
        <v>299</v>
      </c>
      <c r="D8" s="3" t="s">
        <v>300</v>
      </c>
      <c r="E8" s="3" t="s">
        <v>301</v>
      </c>
      <c r="F8" s="2">
        <v>1453</v>
      </c>
      <c r="G8" s="2">
        <v>1469.2</v>
      </c>
      <c r="H8" s="2">
        <v>1460.8</v>
      </c>
      <c r="I8" s="2">
        <v>1450</v>
      </c>
      <c r="J8" s="2">
        <v>1447.1</v>
      </c>
      <c r="K8" s="2">
        <v>1447.4</v>
      </c>
      <c r="L8" s="2">
        <v>1453.4</v>
      </c>
      <c r="M8" s="2">
        <v>1453.5</v>
      </c>
      <c r="N8" s="2">
        <v>1452.6</v>
      </c>
      <c r="O8" s="2">
        <v>1450.5</v>
      </c>
      <c r="P8" s="2">
        <v>1443.3</v>
      </c>
      <c r="Q8" s="2">
        <v>1441.1</v>
      </c>
      <c r="R8" s="2">
        <v>1443.9</v>
      </c>
      <c r="S8" s="2">
        <v>1440.6</v>
      </c>
      <c r="T8" s="2">
        <v>1439.4</v>
      </c>
      <c r="U8" s="2">
        <v>1434.1</v>
      </c>
      <c r="V8" s="2">
        <v>1429.2</v>
      </c>
      <c r="W8" s="2">
        <v>1430.7</v>
      </c>
      <c r="X8" s="2">
        <v>1431.8</v>
      </c>
      <c r="Y8" s="2">
        <v>1439.6</v>
      </c>
      <c r="Z8" s="2">
        <v>1458.7</v>
      </c>
      <c r="AA8" s="2">
        <v>1459.6</v>
      </c>
      <c r="AB8" s="2">
        <v>1456</v>
      </c>
      <c r="AC8" s="2">
        <v>1441.6</v>
      </c>
      <c r="AD8" s="2">
        <v>1446.3</v>
      </c>
      <c r="AE8" s="2">
        <v>1451.5</v>
      </c>
      <c r="AF8" s="2">
        <v>1457.9</v>
      </c>
      <c r="AG8" s="2">
        <v>1452</v>
      </c>
      <c r="AH8" s="2">
        <v>1451.9</v>
      </c>
      <c r="AI8" s="2">
        <v>1454.8</v>
      </c>
      <c r="AJ8" s="2">
        <v>1448</v>
      </c>
      <c r="AK8" s="2">
        <v>1447.1</v>
      </c>
      <c r="AL8" s="2">
        <v>1452.3</v>
      </c>
      <c r="AM8" s="2">
        <v>1459.2</v>
      </c>
      <c r="AN8" s="2">
        <v>1466.9</v>
      </c>
      <c r="AO8" s="2">
        <v>1466.9</v>
      </c>
      <c r="AP8" s="2">
        <v>1469.6</v>
      </c>
      <c r="AQ8" s="2">
        <v>1465.3</v>
      </c>
      <c r="AR8" s="2">
        <v>1466.8</v>
      </c>
      <c r="AS8" s="2">
        <v>1466.5</v>
      </c>
      <c r="AT8" s="2">
        <v>1470.6</v>
      </c>
      <c r="AU8" s="2">
        <v>1471.7</v>
      </c>
      <c r="AV8" s="2">
        <v>1467.8</v>
      </c>
      <c r="AW8" s="2">
        <v>1467</v>
      </c>
      <c r="AX8" s="2">
        <v>1439.3</v>
      </c>
      <c r="AY8" s="2">
        <v>1465.9</v>
      </c>
      <c r="AZ8" s="2">
        <v>1470.2</v>
      </c>
      <c r="BA8" s="2">
        <v>1482.9</v>
      </c>
      <c r="BB8" s="2">
        <v>1458.5</v>
      </c>
      <c r="BC8" s="2">
        <v>1450.8</v>
      </c>
      <c r="BD8" s="2">
        <v>1427.4</v>
      </c>
      <c r="BE8" s="2">
        <v>1423.3</v>
      </c>
      <c r="BF8" s="2">
        <v>1427.4</v>
      </c>
      <c r="BG8" s="2">
        <v>1419.9</v>
      </c>
      <c r="BH8" s="2">
        <v>1421.5</v>
      </c>
      <c r="BI8" s="2">
        <v>1418.9</v>
      </c>
      <c r="BJ8" s="2">
        <v>1422.6</v>
      </c>
      <c r="BK8" s="2">
        <v>1426.6</v>
      </c>
      <c r="BL8" s="2">
        <v>1430.2</v>
      </c>
      <c r="BM8" s="2">
        <v>1434.6</v>
      </c>
      <c r="BN8" s="2">
        <v>1439.3</v>
      </c>
      <c r="BO8" s="2">
        <v>1438.5</v>
      </c>
      <c r="BP8" s="2">
        <v>1426.9</v>
      </c>
      <c r="BQ8" s="2">
        <v>1426.6</v>
      </c>
      <c r="BR8" s="2">
        <v>1394.1</v>
      </c>
      <c r="BS8" s="2">
        <v>1396</v>
      </c>
      <c r="BT8" s="2">
        <v>1405.6</v>
      </c>
      <c r="BU8" s="2">
        <v>1400.4</v>
      </c>
      <c r="BV8" s="2">
        <v>1413.7</v>
      </c>
      <c r="BW8" s="2">
        <v>1415.8</v>
      </c>
      <c r="BX8" s="2">
        <v>1399.6</v>
      </c>
      <c r="BY8" s="2">
        <v>1394.3</v>
      </c>
      <c r="BZ8" s="2">
        <v>1398</v>
      </c>
      <c r="CA8" s="2">
        <v>1392.6</v>
      </c>
      <c r="CB8" s="2">
        <v>1387.1</v>
      </c>
      <c r="CC8" s="2">
        <v>1378.4</v>
      </c>
      <c r="CD8" s="2">
        <v>1376.9</v>
      </c>
      <c r="CE8" s="2">
        <v>1365</v>
      </c>
      <c r="CF8" s="2">
        <v>1368.3</v>
      </c>
      <c r="CG8" s="2">
        <v>1374.6</v>
      </c>
      <c r="CH8" s="2">
        <v>1381.4</v>
      </c>
      <c r="CI8" s="2">
        <v>1375.7</v>
      </c>
      <c r="CJ8" s="2">
        <v>1376.9</v>
      </c>
      <c r="CK8" s="2">
        <v>1373.8</v>
      </c>
      <c r="CL8" s="2">
        <v>1359</v>
      </c>
      <c r="CM8" s="2">
        <v>1358.9</v>
      </c>
      <c r="CN8" s="2">
        <v>1359.9</v>
      </c>
      <c r="CO8" s="2">
        <v>1368.8</v>
      </c>
      <c r="CP8" s="2">
        <v>1362.9</v>
      </c>
      <c r="CQ8" s="2">
        <v>1366.8</v>
      </c>
      <c r="CR8" s="2">
        <v>1363.6</v>
      </c>
      <c r="CS8" s="2">
        <v>1361.7</v>
      </c>
      <c r="CT8" s="2">
        <v>1373.2</v>
      </c>
      <c r="CU8" s="2">
        <v>1379.6</v>
      </c>
      <c r="CV8" s="2">
        <v>1369.4</v>
      </c>
      <c r="CW8" s="2">
        <v>1381.9</v>
      </c>
      <c r="CX8" s="2">
        <v>1365</v>
      </c>
      <c r="CY8" s="2">
        <v>1360.9</v>
      </c>
      <c r="CZ8" s="2">
        <v>1357.6</v>
      </c>
      <c r="DA8" s="2">
        <v>1356.4</v>
      </c>
      <c r="DB8" s="2">
        <v>1353.6</v>
      </c>
      <c r="DC8" s="2">
        <v>1352.6</v>
      </c>
      <c r="DD8" s="2">
        <v>1359.4</v>
      </c>
      <c r="DE8" s="2">
        <v>1358.1</v>
      </c>
      <c r="DF8" s="2">
        <v>1364.2</v>
      </c>
      <c r="DG8" s="2">
        <v>1366.6</v>
      </c>
      <c r="DH8" s="2">
        <v>1368</v>
      </c>
      <c r="DI8" s="2">
        <v>1373.8</v>
      </c>
      <c r="DJ8" s="2">
        <v>1373</v>
      </c>
      <c r="DK8" s="2">
        <v>1374.7</v>
      </c>
      <c r="DL8" s="2">
        <v>1378.5</v>
      </c>
      <c r="DM8" s="2">
        <v>1382.7</v>
      </c>
      <c r="DN8" s="2">
        <v>1387.1</v>
      </c>
      <c r="DO8" s="2">
        <v>1390.8</v>
      </c>
      <c r="DP8" s="2">
        <v>1391.9</v>
      </c>
      <c r="DQ8" s="2">
        <v>1391.1</v>
      </c>
      <c r="DR8" s="2">
        <v>1386.3</v>
      </c>
      <c r="DS8" s="2">
        <v>1379.1</v>
      </c>
      <c r="DT8" s="2">
        <v>1368.7</v>
      </c>
      <c r="DU8" s="2">
        <v>1376</v>
      </c>
      <c r="DV8" s="2">
        <v>1379.6</v>
      </c>
      <c r="DW8" s="2">
        <v>1391.4</v>
      </c>
      <c r="DX8" s="2">
        <v>1382.9</v>
      </c>
      <c r="DY8" s="2">
        <v>1390.4</v>
      </c>
      <c r="DZ8" s="2">
        <v>1399.3</v>
      </c>
      <c r="EA8" s="2">
        <v>1384.9</v>
      </c>
      <c r="EB8" s="2">
        <v>1386.7</v>
      </c>
      <c r="EC8" s="2">
        <v>1389.5</v>
      </c>
      <c r="ED8" s="2">
        <v>1384.2</v>
      </c>
      <c r="EE8" s="2">
        <v>1386</v>
      </c>
      <c r="EF8" s="2">
        <v>1388.3</v>
      </c>
      <c r="EG8" s="2">
        <v>1390.2</v>
      </c>
      <c r="EH8" s="2">
        <v>1383.8</v>
      </c>
      <c r="EI8" s="2">
        <v>1382.2</v>
      </c>
      <c r="EJ8" s="2">
        <v>1385.3</v>
      </c>
      <c r="EK8" s="2">
        <v>1389.4</v>
      </c>
      <c r="EL8" s="2">
        <v>1397.5</v>
      </c>
      <c r="EM8" s="2">
        <v>1398.1</v>
      </c>
      <c r="EN8" s="2">
        <v>1395.6</v>
      </c>
      <c r="EO8" s="2">
        <v>1386.3</v>
      </c>
      <c r="EP8" s="2">
        <v>1391.2</v>
      </c>
      <c r="EQ8" s="2">
        <v>1395.7</v>
      </c>
      <c r="ER8" s="2">
        <v>1388.6</v>
      </c>
      <c r="ES8" s="2">
        <v>1387.7</v>
      </c>
      <c r="ET8" s="2">
        <v>1392.4</v>
      </c>
      <c r="EU8" s="2">
        <v>1392.2</v>
      </c>
      <c r="EV8" s="2">
        <v>1393.8</v>
      </c>
      <c r="EW8" s="2">
        <v>1392.7</v>
      </c>
      <c r="EX8" s="2">
        <v>1391.8</v>
      </c>
      <c r="EY8" s="2">
        <v>1390.4</v>
      </c>
      <c r="EZ8" s="2">
        <v>1386.6</v>
      </c>
      <c r="FA8" s="2">
        <v>1387.6</v>
      </c>
      <c r="FB8" s="2">
        <v>1389.4</v>
      </c>
      <c r="FC8" s="2">
        <v>1388.7</v>
      </c>
      <c r="FD8" s="2">
        <v>1389.5</v>
      </c>
      <c r="FE8" s="2">
        <v>1382.3</v>
      </c>
      <c r="FF8" s="2">
        <v>1380</v>
      </c>
      <c r="FG8" s="2">
        <v>1384.6</v>
      </c>
      <c r="FH8" s="2">
        <v>1393.6</v>
      </c>
      <c r="FI8" s="2">
        <v>1394</v>
      </c>
      <c r="FJ8" s="2">
        <v>1393.8</v>
      </c>
      <c r="FK8" s="2">
        <v>1394.9</v>
      </c>
      <c r="FL8" s="2">
        <v>1400.4</v>
      </c>
      <c r="FM8" s="2">
        <v>1411.6</v>
      </c>
      <c r="FN8" s="2">
        <v>1402.2</v>
      </c>
      <c r="FO8" s="2">
        <v>1403.2</v>
      </c>
      <c r="FP8" s="2">
        <v>1406</v>
      </c>
      <c r="FQ8" s="2">
        <v>1401.9</v>
      </c>
      <c r="FR8" s="2">
        <v>1420.5</v>
      </c>
      <c r="FS8" s="2">
        <v>1427.7</v>
      </c>
      <c r="FT8" s="2">
        <v>1428.4</v>
      </c>
      <c r="FU8" s="2">
        <v>1424.4</v>
      </c>
      <c r="FV8" s="2">
        <v>1419.1</v>
      </c>
      <c r="FW8" s="2">
        <v>1419.5</v>
      </c>
      <c r="FX8" s="2">
        <v>1420.2</v>
      </c>
      <c r="FY8" s="2">
        <v>1423.7</v>
      </c>
      <c r="FZ8" s="2">
        <v>1430.1</v>
      </c>
      <c r="GA8" s="2">
        <v>1436.6</v>
      </c>
      <c r="GB8" s="2">
        <v>1436.1</v>
      </c>
      <c r="GC8" s="2">
        <v>1432.5</v>
      </c>
      <c r="GD8" s="2">
        <v>1434.3</v>
      </c>
      <c r="GE8" s="2">
        <v>1433</v>
      </c>
      <c r="GF8" s="2">
        <v>1423.2</v>
      </c>
      <c r="GG8" s="2">
        <v>1427.4</v>
      </c>
      <c r="GH8" s="2">
        <v>1429</v>
      </c>
      <c r="GI8" s="2">
        <v>1437.7</v>
      </c>
      <c r="GJ8" s="2">
        <v>1447</v>
      </c>
      <c r="GK8" s="2">
        <v>1445.6</v>
      </c>
      <c r="GL8" s="2">
        <v>1454</v>
      </c>
      <c r="GM8" s="2">
        <v>1453.7</v>
      </c>
      <c r="GN8" s="2">
        <v>1463.2</v>
      </c>
      <c r="GO8" s="2">
        <v>1466.4</v>
      </c>
      <c r="GP8" s="2">
        <v>1469.5</v>
      </c>
      <c r="GQ8" s="2">
        <v>1458.5</v>
      </c>
      <c r="GR8" s="2">
        <v>1458.3</v>
      </c>
      <c r="GS8" s="2">
        <v>1465.2</v>
      </c>
      <c r="GT8" s="2">
        <v>1465</v>
      </c>
      <c r="GU8" s="2">
        <v>1468.4</v>
      </c>
      <c r="GV8" s="2">
        <v>1472</v>
      </c>
      <c r="GW8" s="2">
        <v>1473.5</v>
      </c>
      <c r="GX8" s="2">
        <v>1473.5</v>
      </c>
      <c r="GY8" s="2">
        <v>1462.7</v>
      </c>
      <c r="GZ8" s="2">
        <v>1464.8</v>
      </c>
      <c r="HA8" s="2">
        <v>1465.9</v>
      </c>
      <c r="HB8" s="2">
        <v>1469.1</v>
      </c>
      <c r="HC8" s="2">
        <v>1469.6</v>
      </c>
      <c r="HD8" s="2">
        <v>1468.7</v>
      </c>
      <c r="HE8" s="2">
        <v>1471.5</v>
      </c>
      <c r="HF8" s="2">
        <v>1472.1</v>
      </c>
      <c r="HG8" s="2">
        <v>1469</v>
      </c>
      <c r="HH8" s="2">
        <v>1470.4</v>
      </c>
      <c r="HI8" s="2">
        <v>1470.4</v>
      </c>
      <c r="HJ8" s="2">
        <v>1469.5</v>
      </c>
      <c r="HK8" s="2">
        <v>1472.5</v>
      </c>
      <c r="HL8" s="2">
        <v>1474.1</v>
      </c>
      <c r="HM8" s="2">
        <v>1472.4</v>
      </c>
      <c r="HN8" s="2">
        <v>1478.6</v>
      </c>
      <c r="HO8" s="2">
        <v>1477.2</v>
      </c>
      <c r="HP8" s="2">
        <v>1477.8</v>
      </c>
      <c r="HQ8" s="2">
        <v>1478.9</v>
      </c>
      <c r="HR8" s="2">
        <v>1483.4</v>
      </c>
      <c r="HS8" s="2">
        <v>1460.6</v>
      </c>
      <c r="HT8" s="2">
        <v>1442.3</v>
      </c>
      <c r="HU8" s="2">
        <v>1433.9</v>
      </c>
      <c r="HV8" s="2">
        <v>1434.9</v>
      </c>
      <c r="HW8" s="2">
        <v>1434.9</v>
      </c>
      <c r="HX8" s="2">
        <v>1442.1</v>
      </c>
      <c r="HY8" s="2">
        <v>1446.8</v>
      </c>
      <c r="HZ8" s="2">
        <v>1445.7</v>
      </c>
      <c r="IA8" s="2">
        <v>1448.3</v>
      </c>
      <c r="IB8" s="2">
        <v>1449.4</v>
      </c>
      <c r="IC8" s="2">
        <v>1455.7</v>
      </c>
      <c r="ID8" s="2">
        <v>1464.1</v>
      </c>
      <c r="IE8" s="2">
        <v>1472.8</v>
      </c>
      <c r="IF8" s="2">
        <v>1477.5</v>
      </c>
      <c r="IG8" s="2">
        <v>1469.7</v>
      </c>
      <c r="IH8" s="2">
        <v>1473.5</v>
      </c>
      <c r="II8" s="2">
        <v>1473.6</v>
      </c>
      <c r="IJ8" s="2">
        <v>1477</v>
      </c>
      <c r="IK8" s="2">
        <v>1472.8</v>
      </c>
      <c r="IL8" s="2">
        <v>1468.4</v>
      </c>
      <c r="IM8" s="2">
        <v>1467.2</v>
      </c>
      <c r="IN8" s="2">
        <v>1442.8</v>
      </c>
      <c r="IO8" s="2">
        <v>1448.8</v>
      </c>
      <c r="IP8" s="2">
        <v>1428.6</v>
      </c>
      <c r="IQ8" s="2">
        <v>1427</v>
      </c>
      <c r="IR8" s="2">
        <v>1436.7</v>
      </c>
    </row>
    <row r="9" spans="1:252" ht="23.25" customHeight="1" x14ac:dyDescent="0.3">
      <c r="A9" s="4" t="s">
        <v>298</v>
      </c>
      <c r="B9" s="4">
        <v>53</v>
      </c>
      <c r="C9" s="4" t="s">
        <v>302</v>
      </c>
      <c r="D9" s="3" t="s">
        <v>300</v>
      </c>
      <c r="E9" s="3" t="s">
        <v>301</v>
      </c>
      <c r="F9" s="2">
        <v>199.38</v>
      </c>
      <c r="G9" s="2">
        <v>199.91</v>
      </c>
      <c r="H9" s="2">
        <v>199.73</v>
      </c>
      <c r="I9" s="2">
        <v>198.79</v>
      </c>
      <c r="J9" s="2">
        <v>198.79</v>
      </c>
      <c r="K9" s="2">
        <v>198.55</v>
      </c>
      <c r="L9" s="2">
        <v>198.78</v>
      </c>
      <c r="M9" s="2">
        <v>198.86</v>
      </c>
      <c r="N9" s="2">
        <v>198.56</v>
      </c>
      <c r="O9" s="2">
        <v>198.76</v>
      </c>
      <c r="P9" s="2">
        <v>198.15</v>
      </c>
      <c r="Q9" s="2">
        <v>198.72</v>
      </c>
      <c r="R9" s="2">
        <v>198.44</v>
      </c>
      <c r="S9" s="2">
        <v>197.86</v>
      </c>
      <c r="T9" s="2">
        <v>197.81</v>
      </c>
      <c r="U9" s="2">
        <v>197.9</v>
      </c>
      <c r="V9" s="2">
        <v>197.52</v>
      </c>
      <c r="W9" s="2">
        <v>197.21</v>
      </c>
      <c r="X9" s="2">
        <v>197.34</v>
      </c>
      <c r="Y9" s="2">
        <v>197.58</v>
      </c>
      <c r="Z9" s="2">
        <v>199.72</v>
      </c>
      <c r="AA9" s="2">
        <v>200.34</v>
      </c>
      <c r="AB9" s="2">
        <v>200.34</v>
      </c>
      <c r="AC9" s="2">
        <v>198.84</v>
      </c>
      <c r="AD9" s="2">
        <v>199.55</v>
      </c>
      <c r="AE9" s="2">
        <v>200.13</v>
      </c>
      <c r="AF9" s="2">
        <v>201.01</v>
      </c>
      <c r="AG9" s="2">
        <v>200.72</v>
      </c>
      <c r="AH9" s="2">
        <v>200.34</v>
      </c>
      <c r="AI9" s="2">
        <v>200.78</v>
      </c>
      <c r="AJ9" s="2">
        <v>200.11</v>
      </c>
      <c r="AK9" s="2">
        <v>199.98</v>
      </c>
      <c r="AL9" s="2">
        <v>200.67</v>
      </c>
      <c r="AM9" s="2">
        <v>201.7</v>
      </c>
      <c r="AN9" s="2">
        <v>202.41</v>
      </c>
      <c r="AO9" s="2">
        <v>202.04</v>
      </c>
      <c r="AP9" s="2">
        <v>202.24</v>
      </c>
      <c r="AQ9" s="2">
        <v>201.49</v>
      </c>
      <c r="AR9" s="2">
        <v>201.63</v>
      </c>
      <c r="AS9" s="2">
        <v>201.68</v>
      </c>
      <c r="AT9" s="2">
        <v>202.68</v>
      </c>
      <c r="AU9" s="2">
        <v>202.08</v>
      </c>
      <c r="AV9" s="2">
        <v>201.43</v>
      </c>
      <c r="AW9" s="2">
        <v>200.7</v>
      </c>
      <c r="AX9" s="2">
        <v>198.42</v>
      </c>
      <c r="AY9" s="2">
        <v>200</v>
      </c>
      <c r="AZ9" s="2">
        <v>200.18</v>
      </c>
      <c r="BA9" s="2">
        <v>200.82</v>
      </c>
      <c r="BB9" s="2">
        <v>198.19</v>
      </c>
      <c r="BC9" s="2">
        <v>198.29</v>
      </c>
      <c r="BD9" s="2">
        <v>195.44</v>
      </c>
      <c r="BE9" s="2">
        <v>194.4</v>
      </c>
      <c r="BF9" s="2">
        <v>194.77</v>
      </c>
      <c r="BG9" s="2">
        <v>194.33</v>
      </c>
      <c r="BH9" s="2">
        <v>194.77</v>
      </c>
      <c r="BI9" s="2">
        <v>194.46</v>
      </c>
      <c r="BJ9" s="2">
        <v>194.92</v>
      </c>
      <c r="BK9" s="2">
        <v>195.64</v>
      </c>
      <c r="BL9" s="2">
        <v>195.93</v>
      </c>
      <c r="BM9" s="2">
        <v>196.76</v>
      </c>
      <c r="BN9" s="2">
        <v>197.4</v>
      </c>
      <c r="BO9" s="2">
        <v>197.7</v>
      </c>
      <c r="BP9" s="2">
        <v>196.6</v>
      </c>
      <c r="BQ9" s="2">
        <v>196.92</v>
      </c>
      <c r="BR9" s="2">
        <v>193.23</v>
      </c>
      <c r="BS9" s="2">
        <v>192.84</v>
      </c>
      <c r="BT9" s="2">
        <v>193.81</v>
      </c>
      <c r="BU9" s="2">
        <v>193.99</v>
      </c>
      <c r="BV9" s="2">
        <v>196.71</v>
      </c>
      <c r="BW9" s="2">
        <v>196.32</v>
      </c>
      <c r="BX9" s="2">
        <v>194.03</v>
      </c>
      <c r="BY9" s="2">
        <v>193.86</v>
      </c>
      <c r="BZ9" s="2">
        <v>193.86</v>
      </c>
      <c r="CA9" s="2">
        <v>193.13</v>
      </c>
      <c r="CB9" s="2">
        <v>192.4</v>
      </c>
      <c r="CC9" s="2">
        <v>191.6</v>
      </c>
      <c r="CD9" s="2">
        <v>191.05</v>
      </c>
      <c r="CE9" s="2">
        <v>190.19</v>
      </c>
      <c r="CF9" s="2">
        <v>190.43</v>
      </c>
      <c r="CG9" s="2">
        <v>191.27</v>
      </c>
      <c r="CH9" s="2">
        <v>191.88</v>
      </c>
      <c r="CI9" s="2">
        <v>191.17</v>
      </c>
      <c r="CJ9" s="2">
        <v>190.9</v>
      </c>
      <c r="CK9" s="2">
        <v>190.98</v>
      </c>
      <c r="CL9" s="2">
        <v>189.25</v>
      </c>
      <c r="CM9" s="2">
        <v>188.84</v>
      </c>
      <c r="CN9" s="2">
        <v>189.18</v>
      </c>
      <c r="CO9" s="2">
        <v>190.62</v>
      </c>
      <c r="CP9" s="2">
        <v>189.39</v>
      </c>
      <c r="CQ9" s="2">
        <v>190.88</v>
      </c>
      <c r="CR9" s="2">
        <v>189.93</v>
      </c>
      <c r="CS9" s="2">
        <v>189.65</v>
      </c>
      <c r="CT9" s="2">
        <v>190.85</v>
      </c>
      <c r="CU9" s="2">
        <v>191.86</v>
      </c>
      <c r="CV9" s="2">
        <v>190.76</v>
      </c>
      <c r="CW9" s="2">
        <v>192.32</v>
      </c>
      <c r="CX9" s="2">
        <v>190.31</v>
      </c>
      <c r="CY9" s="2">
        <v>190.07</v>
      </c>
      <c r="CZ9" s="2">
        <v>189.56</v>
      </c>
      <c r="DA9" s="2">
        <v>189.16</v>
      </c>
      <c r="DB9" s="2">
        <v>189.23</v>
      </c>
      <c r="DC9" s="2">
        <v>189.02</v>
      </c>
      <c r="DD9" s="2">
        <v>189.68</v>
      </c>
      <c r="DE9" s="2">
        <v>189.69</v>
      </c>
      <c r="DF9" s="2">
        <v>190.55</v>
      </c>
      <c r="DG9" s="2">
        <v>190.67</v>
      </c>
      <c r="DH9" s="2">
        <v>190.61</v>
      </c>
      <c r="DI9" s="2">
        <v>191.21</v>
      </c>
      <c r="DJ9" s="2">
        <v>191.27</v>
      </c>
      <c r="DK9" s="2">
        <v>191.92</v>
      </c>
      <c r="DL9" s="2">
        <v>192.2</v>
      </c>
      <c r="DM9" s="2">
        <v>192.68</v>
      </c>
      <c r="DN9" s="2">
        <v>193.15</v>
      </c>
      <c r="DO9" s="2">
        <v>193.66</v>
      </c>
      <c r="DP9" s="2">
        <v>193.63</v>
      </c>
      <c r="DQ9" s="2">
        <v>193.81</v>
      </c>
      <c r="DR9" s="2">
        <v>193.11</v>
      </c>
      <c r="DS9" s="2">
        <v>192.37</v>
      </c>
      <c r="DT9" s="2">
        <v>191.35</v>
      </c>
      <c r="DU9" s="2">
        <v>192.26</v>
      </c>
      <c r="DV9" s="2">
        <v>192.64</v>
      </c>
      <c r="DW9" s="2">
        <v>193.74</v>
      </c>
      <c r="DX9" s="2">
        <v>192.68</v>
      </c>
      <c r="DY9" s="2">
        <v>193.18</v>
      </c>
      <c r="DZ9" s="2">
        <v>193.95</v>
      </c>
      <c r="EA9" s="2">
        <v>192.7</v>
      </c>
      <c r="EB9" s="2">
        <v>193.2</v>
      </c>
      <c r="EC9" s="2">
        <v>193.15</v>
      </c>
      <c r="ED9" s="2">
        <v>192.97</v>
      </c>
      <c r="EE9" s="2">
        <v>193</v>
      </c>
      <c r="EF9" s="2">
        <v>193.05</v>
      </c>
      <c r="EG9" s="2">
        <v>193.24</v>
      </c>
      <c r="EH9" s="2">
        <v>192.66</v>
      </c>
      <c r="EI9" s="2">
        <v>192.94</v>
      </c>
      <c r="EJ9" s="2">
        <v>192.78</v>
      </c>
      <c r="EK9" s="2">
        <v>193.29</v>
      </c>
      <c r="EL9" s="2">
        <v>194.56</v>
      </c>
      <c r="EM9" s="2">
        <v>194.8</v>
      </c>
      <c r="EN9" s="2">
        <v>194.46</v>
      </c>
      <c r="EO9" s="2">
        <v>193.71</v>
      </c>
      <c r="EP9" s="2">
        <v>194.35</v>
      </c>
      <c r="EQ9" s="2">
        <v>195.11</v>
      </c>
      <c r="ER9" s="2">
        <v>194.14</v>
      </c>
      <c r="ES9" s="2">
        <v>194.72</v>
      </c>
      <c r="ET9" s="2">
        <v>195.35</v>
      </c>
      <c r="EU9" s="2">
        <v>194.95</v>
      </c>
      <c r="EV9" s="2">
        <v>195.18</v>
      </c>
      <c r="EW9" s="2">
        <v>194.99</v>
      </c>
      <c r="EX9" s="2">
        <v>195.18</v>
      </c>
      <c r="EY9" s="2">
        <v>194.89</v>
      </c>
      <c r="EZ9" s="2">
        <v>194.71</v>
      </c>
      <c r="FA9" s="2">
        <v>194.78</v>
      </c>
      <c r="FB9" s="2">
        <v>195.15</v>
      </c>
      <c r="FC9" s="2">
        <v>195.17</v>
      </c>
      <c r="FD9" s="2">
        <v>194.99</v>
      </c>
      <c r="FE9" s="2">
        <v>194.32</v>
      </c>
      <c r="FF9" s="2">
        <v>194.34</v>
      </c>
      <c r="FG9" s="2">
        <v>194.71</v>
      </c>
      <c r="FH9" s="2">
        <v>195.98</v>
      </c>
      <c r="FI9" s="2">
        <v>195.79</v>
      </c>
      <c r="FJ9" s="2">
        <v>195.92</v>
      </c>
      <c r="FK9" s="2">
        <v>195.93</v>
      </c>
      <c r="FL9" s="2">
        <v>196.34</v>
      </c>
      <c r="FM9" s="2">
        <v>197.71</v>
      </c>
      <c r="FN9" s="2">
        <v>196.82</v>
      </c>
      <c r="FO9" s="2">
        <v>196.73</v>
      </c>
      <c r="FP9" s="2">
        <v>197.49</v>
      </c>
      <c r="FQ9" s="2">
        <v>196.59</v>
      </c>
      <c r="FR9" s="2">
        <v>199.24</v>
      </c>
      <c r="FS9" s="2">
        <v>200.16</v>
      </c>
      <c r="FT9" s="2">
        <v>199.87</v>
      </c>
      <c r="FU9" s="2">
        <v>199.57</v>
      </c>
      <c r="FV9" s="2">
        <v>199.06</v>
      </c>
      <c r="FW9" s="2">
        <v>199.31</v>
      </c>
      <c r="FX9" s="2">
        <v>199.47</v>
      </c>
      <c r="FY9" s="2">
        <v>199.91</v>
      </c>
      <c r="FZ9" s="2">
        <v>200.69</v>
      </c>
      <c r="GA9" s="2">
        <v>201.3</v>
      </c>
      <c r="GB9" s="2">
        <v>201.38</v>
      </c>
      <c r="GC9" s="2">
        <v>201.33</v>
      </c>
      <c r="GD9" s="2">
        <v>202.22</v>
      </c>
      <c r="GE9" s="2">
        <v>201.97</v>
      </c>
      <c r="GF9" s="2">
        <v>200.45</v>
      </c>
      <c r="GG9" s="2">
        <v>200.76</v>
      </c>
      <c r="GH9" s="2">
        <v>200.62</v>
      </c>
      <c r="GI9" s="2">
        <v>201.9</v>
      </c>
      <c r="GJ9" s="2">
        <v>202.91</v>
      </c>
      <c r="GK9" s="2">
        <v>202.87</v>
      </c>
      <c r="GL9" s="2">
        <v>204.45</v>
      </c>
      <c r="GM9" s="2">
        <v>204.19</v>
      </c>
      <c r="GN9" s="2">
        <v>205.53</v>
      </c>
      <c r="GO9" s="2">
        <v>206.16</v>
      </c>
      <c r="GP9" s="2">
        <v>206.48</v>
      </c>
      <c r="GQ9" s="2">
        <v>204.86</v>
      </c>
      <c r="GR9" s="2">
        <v>205.3</v>
      </c>
      <c r="GS9" s="2">
        <v>206.23</v>
      </c>
      <c r="GT9" s="2">
        <v>206.1</v>
      </c>
      <c r="GU9" s="2">
        <v>206.32</v>
      </c>
      <c r="GV9" s="2">
        <v>206.82</v>
      </c>
      <c r="GW9" s="2">
        <v>207.46</v>
      </c>
      <c r="GX9" s="2">
        <v>207.78</v>
      </c>
      <c r="GY9" s="2">
        <v>206.93</v>
      </c>
      <c r="GZ9" s="2">
        <v>207.05</v>
      </c>
      <c r="HA9" s="2">
        <v>207.13</v>
      </c>
      <c r="HB9" s="2">
        <v>207.83</v>
      </c>
      <c r="HC9" s="2">
        <v>207.6</v>
      </c>
      <c r="HD9" s="2">
        <v>207.98</v>
      </c>
      <c r="HE9" s="2">
        <v>208.3</v>
      </c>
      <c r="HF9" s="2">
        <v>208.17</v>
      </c>
      <c r="HG9" s="2">
        <v>207.96</v>
      </c>
      <c r="HH9" s="2">
        <v>208.04</v>
      </c>
      <c r="HI9" s="2">
        <v>208.4</v>
      </c>
      <c r="HJ9" s="2">
        <v>208.08</v>
      </c>
      <c r="HK9" s="2">
        <v>208.85</v>
      </c>
      <c r="HL9" s="2">
        <v>209.08</v>
      </c>
      <c r="HM9" s="2">
        <v>209.35</v>
      </c>
      <c r="HN9" s="2">
        <v>210.24</v>
      </c>
      <c r="HO9" s="2">
        <v>210.03</v>
      </c>
      <c r="HP9" s="2">
        <v>210.11</v>
      </c>
      <c r="HQ9" s="2">
        <v>210.33</v>
      </c>
      <c r="HR9" s="2">
        <v>211.1</v>
      </c>
      <c r="HS9" s="2">
        <v>208.37</v>
      </c>
      <c r="HT9" s="2">
        <v>205.38</v>
      </c>
      <c r="HU9" s="2">
        <v>204.53</v>
      </c>
      <c r="HV9" s="2">
        <v>204.76</v>
      </c>
      <c r="HW9" s="2">
        <v>204.76</v>
      </c>
      <c r="HX9" s="2">
        <v>206.92</v>
      </c>
      <c r="HY9" s="2">
        <v>207.52</v>
      </c>
      <c r="HZ9" s="2">
        <v>207.26</v>
      </c>
      <c r="IA9" s="2">
        <v>207.47</v>
      </c>
      <c r="IB9" s="2">
        <v>207.26</v>
      </c>
      <c r="IC9" s="2">
        <v>208.44</v>
      </c>
      <c r="ID9" s="2">
        <v>210.64</v>
      </c>
      <c r="IE9" s="2">
        <v>211.25</v>
      </c>
      <c r="IF9" s="2">
        <v>211.83</v>
      </c>
      <c r="IG9" s="2">
        <v>211.18</v>
      </c>
      <c r="IH9" s="2">
        <v>211.63</v>
      </c>
      <c r="II9" s="2">
        <v>211.87</v>
      </c>
      <c r="IJ9" s="2">
        <v>212.48</v>
      </c>
      <c r="IK9" s="2">
        <v>211.43</v>
      </c>
      <c r="IL9" s="2">
        <v>211.26</v>
      </c>
      <c r="IM9" s="2">
        <v>210.93</v>
      </c>
      <c r="IN9" s="2">
        <v>207.21</v>
      </c>
      <c r="IO9" s="2">
        <v>208.18</v>
      </c>
      <c r="IP9" s="2">
        <v>205.78</v>
      </c>
      <c r="IQ9" s="2">
        <v>205.46</v>
      </c>
      <c r="IR9" s="2">
        <v>206.79</v>
      </c>
    </row>
    <row r="10" spans="1:252" ht="23.25" customHeight="1" x14ac:dyDescent="0.3">
      <c r="A10" s="4" t="s">
        <v>298</v>
      </c>
      <c r="B10" s="4">
        <v>2</v>
      </c>
      <c r="C10" s="4" t="s">
        <v>303</v>
      </c>
      <c r="D10" s="3" t="s">
        <v>300</v>
      </c>
      <c r="E10" s="3" t="s">
        <v>301</v>
      </c>
      <c r="F10" s="2">
        <v>935.91</v>
      </c>
      <c r="G10" s="2">
        <v>947.96</v>
      </c>
      <c r="H10" s="2">
        <v>946.08</v>
      </c>
      <c r="I10" s="2">
        <v>950.48</v>
      </c>
      <c r="J10" s="2">
        <v>956.48</v>
      </c>
      <c r="K10" s="2">
        <v>954.4</v>
      </c>
      <c r="L10" s="2">
        <v>956.47</v>
      </c>
      <c r="M10" s="2">
        <v>952.8</v>
      </c>
      <c r="N10" s="2">
        <v>941.44</v>
      </c>
      <c r="O10" s="2">
        <v>948.47</v>
      </c>
      <c r="P10" s="2">
        <v>947.79</v>
      </c>
      <c r="Q10" s="2">
        <v>950.97</v>
      </c>
      <c r="R10" s="2">
        <v>949.68</v>
      </c>
      <c r="S10" s="2">
        <v>952.12</v>
      </c>
      <c r="T10" s="2">
        <v>962.91</v>
      </c>
      <c r="U10" s="2">
        <v>961.26</v>
      </c>
      <c r="V10" s="2">
        <v>953.59</v>
      </c>
      <c r="W10" s="2">
        <v>959.69</v>
      </c>
      <c r="X10" s="2">
        <v>961.49</v>
      </c>
      <c r="Y10" s="2">
        <v>961.82</v>
      </c>
      <c r="Z10" s="2">
        <v>976.37</v>
      </c>
      <c r="AA10" s="2">
        <v>973.42</v>
      </c>
      <c r="AB10" s="2">
        <v>978.26</v>
      </c>
      <c r="AC10" s="2">
        <v>974.28</v>
      </c>
      <c r="AD10" s="2">
        <v>980.54</v>
      </c>
      <c r="AE10" s="2">
        <v>988.29</v>
      </c>
      <c r="AF10" s="2">
        <v>986</v>
      </c>
      <c r="AG10" s="2">
        <v>979.86</v>
      </c>
      <c r="AH10" s="2">
        <v>981.64</v>
      </c>
      <c r="AI10" s="2">
        <v>979.33</v>
      </c>
      <c r="AJ10" s="2">
        <v>969.37</v>
      </c>
      <c r="AK10" s="2">
        <v>968.74</v>
      </c>
      <c r="AL10" s="2">
        <v>976.7</v>
      </c>
      <c r="AM10" s="2">
        <v>981.14</v>
      </c>
      <c r="AN10" s="2">
        <v>980.65</v>
      </c>
      <c r="AO10" s="2">
        <v>973.36</v>
      </c>
      <c r="AP10" s="2">
        <v>980.09</v>
      </c>
      <c r="AQ10" s="2">
        <v>974.37</v>
      </c>
      <c r="AR10" s="2">
        <v>971.26</v>
      </c>
      <c r="AS10" s="2">
        <v>981.76</v>
      </c>
      <c r="AT10" s="2">
        <v>980.11</v>
      </c>
      <c r="AU10" s="2">
        <v>982.48</v>
      </c>
      <c r="AV10" s="2">
        <v>989.95</v>
      </c>
      <c r="AW10" s="2">
        <v>1006</v>
      </c>
      <c r="AX10" s="2">
        <v>992.45</v>
      </c>
      <c r="AY10" s="2">
        <v>990.91</v>
      </c>
      <c r="AZ10" s="2">
        <v>1008.61</v>
      </c>
      <c r="BA10" s="2">
        <v>1004.81</v>
      </c>
      <c r="BB10" s="2">
        <v>1012.07</v>
      </c>
      <c r="BC10" s="2">
        <v>1009.74</v>
      </c>
      <c r="BD10" s="2">
        <v>996.41</v>
      </c>
      <c r="BE10" s="2">
        <v>993.89</v>
      </c>
      <c r="BF10" s="2">
        <v>1006.42</v>
      </c>
      <c r="BG10" s="2">
        <v>997.26</v>
      </c>
      <c r="BH10" s="2">
        <v>1003.53</v>
      </c>
      <c r="BI10" s="2">
        <v>1007.99</v>
      </c>
      <c r="BJ10" s="2">
        <v>996.99</v>
      </c>
      <c r="BK10" s="2">
        <v>997.03</v>
      </c>
      <c r="BL10" s="2">
        <v>1001.68</v>
      </c>
      <c r="BM10" s="2">
        <v>997.88</v>
      </c>
      <c r="BN10" s="2">
        <v>1011.85</v>
      </c>
      <c r="BO10" s="2">
        <v>1011.07</v>
      </c>
      <c r="BP10" s="2">
        <v>980.89</v>
      </c>
      <c r="BQ10" s="2">
        <v>995.92</v>
      </c>
      <c r="BR10" s="2">
        <v>969.17</v>
      </c>
      <c r="BS10" s="2">
        <v>956.69</v>
      </c>
      <c r="BT10" s="2">
        <v>964.23</v>
      </c>
      <c r="BU10" s="2">
        <v>943.38</v>
      </c>
      <c r="BV10" s="2">
        <v>958.67</v>
      </c>
      <c r="BW10" s="2">
        <v>966.12</v>
      </c>
      <c r="BX10" s="2">
        <v>961.96</v>
      </c>
      <c r="BY10" s="2">
        <v>960.43</v>
      </c>
      <c r="BZ10" s="2">
        <v>964.5</v>
      </c>
      <c r="CA10" s="2">
        <v>964.5</v>
      </c>
      <c r="CB10" s="2">
        <v>962.96</v>
      </c>
      <c r="CC10" s="2">
        <v>958.59</v>
      </c>
      <c r="CD10" s="2">
        <v>964.05</v>
      </c>
      <c r="CE10" s="2">
        <v>956.62</v>
      </c>
      <c r="CF10" s="2">
        <v>948.79</v>
      </c>
      <c r="CG10" s="2">
        <v>946.56</v>
      </c>
      <c r="CH10" s="2">
        <v>959.27</v>
      </c>
      <c r="CI10" s="2">
        <v>956.78</v>
      </c>
      <c r="CJ10" s="2">
        <v>956.75</v>
      </c>
      <c r="CK10" s="2">
        <v>962.18</v>
      </c>
      <c r="CL10" s="2">
        <v>939.48</v>
      </c>
      <c r="CM10" s="2">
        <v>939.47</v>
      </c>
      <c r="CN10" s="2">
        <v>938.35</v>
      </c>
      <c r="CO10" s="2">
        <v>948.94</v>
      </c>
      <c r="CP10" s="2">
        <v>950.22</v>
      </c>
      <c r="CQ10" s="2">
        <v>945.59</v>
      </c>
      <c r="CR10" s="2">
        <v>942.66</v>
      </c>
      <c r="CS10" s="2">
        <v>936.87</v>
      </c>
      <c r="CT10" s="2">
        <v>946.87</v>
      </c>
      <c r="CU10" s="2">
        <v>948.6</v>
      </c>
      <c r="CV10" s="2">
        <v>935.54</v>
      </c>
      <c r="CW10" s="2">
        <v>947.16</v>
      </c>
      <c r="CX10" s="2">
        <v>941.9</v>
      </c>
      <c r="CY10" s="2">
        <v>938.2</v>
      </c>
      <c r="CZ10" s="2">
        <v>939.26</v>
      </c>
      <c r="DA10" s="2">
        <v>938.98</v>
      </c>
      <c r="DB10" s="2">
        <v>940.65</v>
      </c>
      <c r="DC10" s="2">
        <v>943.01</v>
      </c>
      <c r="DD10" s="2">
        <v>946.82</v>
      </c>
      <c r="DE10" s="2">
        <v>937.43</v>
      </c>
      <c r="DF10" s="2">
        <v>943.95</v>
      </c>
      <c r="DG10" s="2">
        <v>936.77</v>
      </c>
      <c r="DH10" s="2">
        <v>932.77</v>
      </c>
      <c r="DI10" s="2">
        <v>939.25</v>
      </c>
      <c r="DJ10" s="2">
        <v>939.32</v>
      </c>
      <c r="DK10" s="2">
        <v>932.16</v>
      </c>
      <c r="DL10" s="2">
        <v>932.52</v>
      </c>
      <c r="DM10" s="2">
        <v>928.77</v>
      </c>
      <c r="DN10" s="2">
        <v>937.9</v>
      </c>
      <c r="DO10" s="2">
        <v>937.73</v>
      </c>
      <c r="DP10" s="2">
        <v>936.64</v>
      </c>
      <c r="DQ10" s="2">
        <v>943.66</v>
      </c>
      <c r="DR10" s="2">
        <v>945.02</v>
      </c>
      <c r="DS10" s="2">
        <v>941.94</v>
      </c>
      <c r="DT10" s="2">
        <v>930.96</v>
      </c>
      <c r="DU10" s="2">
        <v>931.21</v>
      </c>
      <c r="DV10" s="2">
        <v>928.96</v>
      </c>
      <c r="DW10" s="2">
        <v>936.88</v>
      </c>
      <c r="DX10" s="2">
        <v>926.1</v>
      </c>
      <c r="DY10" s="2">
        <v>922.78</v>
      </c>
      <c r="DZ10" s="2">
        <v>950.1</v>
      </c>
      <c r="EA10" s="2">
        <v>943.42</v>
      </c>
      <c r="EB10" s="2">
        <v>939.66</v>
      </c>
      <c r="EC10" s="2">
        <v>943.89</v>
      </c>
      <c r="ED10" s="2">
        <v>942.5</v>
      </c>
      <c r="EE10" s="2">
        <v>938.07</v>
      </c>
      <c r="EF10" s="2">
        <v>936.74</v>
      </c>
      <c r="EG10" s="2">
        <v>940.72</v>
      </c>
      <c r="EH10" s="2">
        <v>940.05</v>
      </c>
      <c r="EI10" s="2">
        <v>938.52</v>
      </c>
      <c r="EJ10" s="2">
        <v>936.39</v>
      </c>
      <c r="EK10" s="2">
        <v>940.95</v>
      </c>
      <c r="EL10" s="2">
        <v>948.13</v>
      </c>
      <c r="EM10" s="2">
        <v>942.15</v>
      </c>
      <c r="EN10" s="2">
        <v>948.65</v>
      </c>
      <c r="EO10" s="2">
        <v>937.92</v>
      </c>
      <c r="EP10" s="2">
        <v>943.51</v>
      </c>
      <c r="EQ10" s="2">
        <v>947.52</v>
      </c>
      <c r="ER10" s="2">
        <v>944.79</v>
      </c>
      <c r="ES10" s="2">
        <v>943.05</v>
      </c>
      <c r="ET10" s="2">
        <v>946.25</v>
      </c>
      <c r="EU10" s="2">
        <v>937.41</v>
      </c>
      <c r="EV10" s="2">
        <v>941.72</v>
      </c>
      <c r="EW10" s="2">
        <v>937.88</v>
      </c>
      <c r="EX10" s="2">
        <v>938.28</v>
      </c>
      <c r="EY10" s="2">
        <v>943.25</v>
      </c>
      <c r="EZ10" s="2">
        <v>940.93</v>
      </c>
      <c r="FA10" s="2">
        <v>941.7</v>
      </c>
      <c r="FB10" s="2">
        <v>943.79</v>
      </c>
      <c r="FC10" s="2">
        <v>940.15</v>
      </c>
      <c r="FD10" s="2">
        <v>942.7</v>
      </c>
      <c r="FE10" s="2">
        <v>943.77</v>
      </c>
      <c r="FF10" s="2">
        <v>939.83</v>
      </c>
      <c r="FG10" s="2">
        <v>935.76</v>
      </c>
      <c r="FH10" s="2">
        <v>941.53</v>
      </c>
      <c r="FI10" s="2">
        <v>943.68</v>
      </c>
      <c r="FJ10" s="2">
        <v>944.02</v>
      </c>
      <c r="FK10" s="2">
        <v>937.31</v>
      </c>
      <c r="FL10" s="2">
        <v>935.19</v>
      </c>
      <c r="FM10" s="2">
        <v>944.44</v>
      </c>
      <c r="FN10" s="2">
        <v>943.73</v>
      </c>
      <c r="FO10" s="2">
        <v>949.26</v>
      </c>
      <c r="FP10" s="2">
        <v>956.43</v>
      </c>
      <c r="FQ10" s="2">
        <v>915.08</v>
      </c>
      <c r="FR10" s="2">
        <v>935.49</v>
      </c>
      <c r="FS10" s="2">
        <v>937</v>
      </c>
      <c r="FT10" s="2">
        <v>940.88</v>
      </c>
      <c r="FU10" s="2">
        <v>943.59</v>
      </c>
      <c r="FV10" s="2">
        <v>944.68</v>
      </c>
      <c r="FW10" s="2">
        <v>940.66</v>
      </c>
      <c r="FX10" s="2">
        <v>941.9</v>
      </c>
      <c r="FY10" s="2">
        <v>937.2</v>
      </c>
      <c r="FZ10" s="2">
        <v>941.2</v>
      </c>
      <c r="GA10" s="2">
        <v>941.23</v>
      </c>
      <c r="GB10" s="2">
        <v>937.77</v>
      </c>
      <c r="GC10" s="2">
        <v>937.75</v>
      </c>
      <c r="GD10" s="2">
        <v>942.84</v>
      </c>
      <c r="GE10" s="2">
        <v>938.38</v>
      </c>
      <c r="GF10" s="2">
        <v>923.62</v>
      </c>
      <c r="GG10" s="2">
        <v>926.1</v>
      </c>
      <c r="GH10" s="2">
        <v>926.69</v>
      </c>
      <c r="GI10" s="2">
        <v>935.61</v>
      </c>
      <c r="GJ10" s="2">
        <v>939.43</v>
      </c>
      <c r="GK10" s="2">
        <v>944.87</v>
      </c>
      <c r="GL10" s="2">
        <v>945.54</v>
      </c>
      <c r="GM10" s="2">
        <v>943.26</v>
      </c>
      <c r="GN10" s="2">
        <v>949.33</v>
      </c>
      <c r="GO10" s="2">
        <v>947.75</v>
      </c>
      <c r="GP10" s="2">
        <v>950.67</v>
      </c>
      <c r="GQ10" s="2">
        <v>944.1</v>
      </c>
      <c r="GR10" s="2">
        <v>939.51</v>
      </c>
      <c r="GS10" s="2">
        <v>942.13</v>
      </c>
      <c r="GT10" s="2">
        <v>932.76</v>
      </c>
      <c r="GU10" s="2">
        <v>933.03</v>
      </c>
      <c r="GV10" s="2">
        <v>939.94</v>
      </c>
      <c r="GW10" s="2">
        <v>939.04</v>
      </c>
      <c r="GX10" s="2">
        <v>944.01</v>
      </c>
      <c r="GY10" s="2">
        <v>935.56</v>
      </c>
      <c r="GZ10" s="2">
        <v>937.29</v>
      </c>
      <c r="HA10" s="2">
        <v>939.47</v>
      </c>
      <c r="HB10" s="2">
        <v>945.15</v>
      </c>
      <c r="HC10" s="2">
        <v>942.96</v>
      </c>
      <c r="HD10" s="2">
        <v>946.33</v>
      </c>
      <c r="HE10" s="2">
        <v>948.59</v>
      </c>
      <c r="HF10" s="2">
        <v>948.09</v>
      </c>
      <c r="HG10" s="2">
        <v>942.06</v>
      </c>
      <c r="HH10" s="2">
        <v>937.67</v>
      </c>
      <c r="HI10" s="2">
        <v>942.81</v>
      </c>
      <c r="HJ10" s="2">
        <v>945.05</v>
      </c>
      <c r="HK10" s="2">
        <v>945.3</v>
      </c>
      <c r="HL10" s="2">
        <v>950.39</v>
      </c>
      <c r="HM10" s="2">
        <v>951.47</v>
      </c>
      <c r="HN10" s="2">
        <v>950.01</v>
      </c>
      <c r="HO10" s="2">
        <v>949.63</v>
      </c>
      <c r="HP10" s="2">
        <v>937.78</v>
      </c>
      <c r="HQ10" s="2">
        <v>942.15</v>
      </c>
      <c r="HR10" s="2">
        <v>950.01</v>
      </c>
      <c r="HS10" s="2">
        <v>937.27</v>
      </c>
      <c r="HT10" s="2">
        <v>921.77</v>
      </c>
      <c r="HU10" s="2">
        <v>919.08</v>
      </c>
      <c r="HV10" s="2">
        <v>917.63</v>
      </c>
      <c r="HW10" s="2">
        <v>915.06</v>
      </c>
      <c r="HX10" s="2">
        <v>919.79</v>
      </c>
      <c r="HY10" s="2">
        <v>924.21</v>
      </c>
      <c r="HZ10" s="2">
        <v>923.06</v>
      </c>
      <c r="IA10" s="2">
        <v>924.46</v>
      </c>
      <c r="IB10" s="2">
        <v>923.89</v>
      </c>
      <c r="IC10" s="2">
        <v>921.01</v>
      </c>
      <c r="ID10" s="2">
        <v>925.62</v>
      </c>
      <c r="IE10" s="2">
        <v>925.33</v>
      </c>
      <c r="IF10" s="2">
        <v>933.47</v>
      </c>
      <c r="IG10" s="2">
        <v>926.52</v>
      </c>
      <c r="IH10" s="2">
        <v>934.58</v>
      </c>
      <c r="II10" s="2">
        <v>931.74</v>
      </c>
      <c r="IJ10" s="2">
        <v>934.01</v>
      </c>
      <c r="IK10" s="2">
        <v>930.41</v>
      </c>
      <c r="IL10" s="2">
        <v>927.02</v>
      </c>
      <c r="IM10" s="2">
        <v>948.88</v>
      </c>
      <c r="IN10" s="2">
        <v>935.7</v>
      </c>
      <c r="IO10" s="2">
        <v>950.81</v>
      </c>
      <c r="IP10" s="2">
        <v>931.32</v>
      </c>
      <c r="IQ10" s="2">
        <v>932.89</v>
      </c>
      <c r="IR10" s="2">
        <v>924.01</v>
      </c>
    </row>
    <row r="11" spans="1:252" ht="23.25" customHeight="1" x14ac:dyDescent="0.3">
      <c r="A11" s="4" t="s">
        <v>298</v>
      </c>
      <c r="B11" s="4">
        <v>3</v>
      </c>
      <c r="C11" s="4" t="s">
        <v>304</v>
      </c>
      <c r="D11" s="3" t="s">
        <v>300</v>
      </c>
      <c r="E11" s="3" t="s">
        <v>301</v>
      </c>
      <c r="F11" s="2">
        <v>1491.5</v>
      </c>
      <c r="G11" s="2">
        <v>1520.25</v>
      </c>
      <c r="H11" s="2">
        <v>1515.8</v>
      </c>
      <c r="I11" s="2">
        <v>1508</v>
      </c>
      <c r="J11" s="2">
        <v>1502.81</v>
      </c>
      <c r="K11" s="2">
        <v>1491.55</v>
      </c>
      <c r="L11" s="2">
        <v>1497.73</v>
      </c>
      <c r="M11" s="2">
        <v>1506.26</v>
      </c>
      <c r="N11" s="2">
        <v>1508.74</v>
      </c>
      <c r="O11" s="2">
        <v>1517.8</v>
      </c>
      <c r="P11" s="2">
        <v>1514.02</v>
      </c>
      <c r="Q11" s="2">
        <v>1510.63</v>
      </c>
      <c r="R11" s="2">
        <v>1508.3</v>
      </c>
      <c r="S11" s="2">
        <v>1501.61</v>
      </c>
      <c r="T11" s="2">
        <v>1511.95</v>
      </c>
      <c r="U11" s="2">
        <v>1502.79</v>
      </c>
      <c r="V11" s="2">
        <v>1495.51</v>
      </c>
      <c r="W11" s="2">
        <v>1504.74</v>
      </c>
      <c r="X11" s="2">
        <v>1501.74</v>
      </c>
      <c r="Y11" s="2">
        <v>1496.97</v>
      </c>
      <c r="Z11" s="2">
        <v>1529.37</v>
      </c>
      <c r="AA11" s="2">
        <v>1552.14</v>
      </c>
      <c r="AB11" s="2">
        <v>1571.24</v>
      </c>
      <c r="AC11" s="2">
        <v>1555.92</v>
      </c>
      <c r="AD11" s="2">
        <v>1569.52</v>
      </c>
      <c r="AE11" s="2">
        <v>1573.57</v>
      </c>
      <c r="AF11" s="2">
        <v>1591.44</v>
      </c>
      <c r="AG11" s="2">
        <v>1581.01</v>
      </c>
      <c r="AH11" s="2">
        <v>1575.6</v>
      </c>
      <c r="AI11" s="2">
        <v>1583.26</v>
      </c>
      <c r="AJ11" s="2">
        <v>1581.14</v>
      </c>
      <c r="AK11" s="2">
        <v>1583.42</v>
      </c>
      <c r="AL11" s="2">
        <v>1584.1</v>
      </c>
      <c r="AM11" s="2">
        <v>1584.33</v>
      </c>
      <c r="AN11" s="2">
        <v>1587.33</v>
      </c>
      <c r="AO11" s="2">
        <v>1584.62</v>
      </c>
      <c r="AP11" s="2">
        <v>1585.33</v>
      </c>
      <c r="AQ11" s="2">
        <v>1573.15</v>
      </c>
      <c r="AR11" s="2">
        <v>1583.78</v>
      </c>
      <c r="AS11" s="2">
        <v>1587.85</v>
      </c>
      <c r="AT11" s="2">
        <v>1590.9</v>
      </c>
      <c r="AU11" s="2">
        <v>1589.14</v>
      </c>
      <c r="AV11" s="2">
        <v>1592.05</v>
      </c>
      <c r="AW11" s="2">
        <v>1620.89</v>
      </c>
      <c r="AX11" s="2">
        <v>1582.15</v>
      </c>
      <c r="AY11" s="2">
        <v>1600.1</v>
      </c>
      <c r="AZ11" s="2">
        <v>1613.1</v>
      </c>
      <c r="BA11" s="2">
        <v>1624.22</v>
      </c>
      <c r="BB11" s="2">
        <v>1635.56</v>
      </c>
      <c r="BC11" s="2">
        <v>1644.41</v>
      </c>
      <c r="BD11" s="2">
        <v>1619.31</v>
      </c>
      <c r="BE11" s="2">
        <v>1606.48</v>
      </c>
      <c r="BF11" s="2">
        <v>1626.88</v>
      </c>
      <c r="BG11" s="2">
        <v>1614.78</v>
      </c>
      <c r="BH11" s="2">
        <v>1626.12</v>
      </c>
      <c r="BI11" s="2">
        <v>1634.43</v>
      </c>
      <c r="BJ11" s="2">
        <v>1615.15</v>
      </c>
      <c r="BK11" s="2">
        <v>1616.98</v>
      </c>
      <c r="BL11" s="2">
        <v>1628.28</v>
      </c>
      <c r="BM11" s="2">
        <v>1628.41</v>
      </c>
      <c r="BN11" s="2">
        <v>1642.1</v>
      </c>
      <c r="BO11" s="2">
        <v>1638.24</v>
      </c>
      <c r="BP11" s="2">
        <v>1611.54</v>
      </c>
      <c r="BQ11" s="2">
        <v>1617.27</v>
      </c>
      <c r="BR11" s="2">
        <v>1575.82</v>
      </c>
      <c r="BS11" s="2">
        <v>1567.22</v>
      </c>
      <c r="BT11" s="2">
        <v>1578.35</v>
      </c>
      <c r="BU11" s="2">
        <v>1553.25</v>
      </c>
      <c r="BV11" s="2">
        <v>1581.72</v>
      </c>
      <c r="BW11" s="2">
        <v>1583.64</v>
      </c>
      <c r="BX11" s="2">
        <v>1566.43</v>
      </c>
      <c r="BY11" s="2">
        <v>1560.36</v>
      </c>
      <c r="BZ11" s="2">
        <v>1570.51</v>
      </c>
      <c r="CA11" s="2">
        <v>1571.2</v>
      </c>
      <c r="CB11" s="2">
        <v>1569.85</v>
      </c>
      <c r="CC11" s="2">
        <v>1555.94</v>
      </c>
      <c r="CD11" s="2">
        <v>1566.36</v>
      </c>
      <c r="CE11" s="2">
        <v>1554.74</v>
      </c>
      <c r="CF11" s="2">
        <v>1551.04</v>
      </c>
      <c r="CG11" s="2">
        <v>1551.17</v>
      </c>
      <c r="CH11" s="2">
        <v>1571.14</v>
      </c>
      <c r="CI11" s="2">
        <v>1562.73</v>
      </c>
      <c r="CJ11" s="2">
        <v>1566.29</v>
      </c>
      <c r="CK11" s="2">
        <v>1569.09</v>
      </c>
      <c r="CL11" s="2">
        <v>1550.21</v>
      </c>
      <c r="CM11" s="2">
        <v>1552.07</v>
      </c>
      <c r="CN11" s="2">
        <v>1554.64</v>
      </c>
      <c r="CO11" s="2">
        <v>1575.08</v>
      </c>
      <c r="CP11" s="2">
        <v>1579.81</v>
      </c>
      <c r="CQ11" s="2">
        <v>1576.81</v>
      </c>
      <c r="CR11" s="2">
        <v>1576.25</v>
      </c>
      <c r="CS11" s="2">
        <v>1563.03</v>
      </c>
      <c r="CT11" s="2">
        <v>1576.3</v>
      </c>
      <c r="CU11" s="2">
        <v>1586.75</v>
      </c>
      <c r="CV11" s="2">
        <v>1573.17</v>
      </c>
      <c r="CW11" s="2">
        <v>1602.66</v>
      </c>
      <c r="CX11" s="2">
        <v>1584.77</v>
      </c>
      <c r="CY11" s="2">
        <v>1588.17</v>
      </c>
      <c r="CZ11" s="2">
        <v>1587.1</v>
      </c>
      <c r="DA11" s="2">
        <v>1591.8</v>
      </c>
      <c r="DB11" s="2">
        <v>1595.42</v>
      </c>
      <c r="DC11" s="2">
        <v>1596.34</v>
      </c>
      <c r="DD11" s="2">
        <v>1604.02</v>
      </c>
      <c r="DE11" s="2">
        <v>1597.06</v>
      </c>
      <c r="DF11" s="2">
        <v>1607.1</v>
      </c>
      <c r="DG11" s="2">
        <v>1603.91</v>
      </c>
      <c r="DH11" s="2">
        <v>1604.19</v>
      </c>
      <c r="DI11" s="2">
        <v>1610.64</v>
      </c>
      <c r="DJ11" s="2">
        <v>1607.1</v>
      </c>
      <c r="DK11" s="2">
        <v>1604.07</v>
      </c>
      <c r="DL11" s="2">
        <v>1608.02</v>
      </c>
      <c r="DM11" s="2">
        <v>1604.49</v>
      </c>
      <c r="DN11" s="2">
        <v>1614.17</v>
      </c>
      <c r="DO11" s="2">
        <v>1615.76</v>
      </c>
      <c r="DP11" s="2">
        <v>1618.29</v>
      </c>
      <c r="DQ11" s="2">
        <v>1626.82</v>
      </c>
      <c r="DR11" s="2">
        <v>1628.63</v>
      </c>
      <c r="DS11" s="2">
        <v>1623.89</v>
      </c>
      <c r="DT11" s="2">
        <v>1608.91</v>
      </c>
      <c r="DU11" s="2">
        <v>1617.69</v>
      </c>
      <c r="DV11" s="2">
        <v>1599.58</v>
      </c>
      <c r="DW11" s="2">
        <v>1607.07</v>
      </c>
      <c r="DX11" s="2">
        <v>1579.62</v>
      </c>
      <c r="DY11" s="2">
        <v>1588.18</v>
      </c>
      <c r="DZ11" s="2">
        <v>1620.6</v>
      </c>
      <c r="EA11" s="2">
        <v>1604.13</v>
      </c>
      <c r="EB11" s="2">
        <v>1605.31</v>
      </c>
      <c r="EC11" s="2">
        <v>1620.43</v>
      </c>
      <c r="ED11" s="2">
        <v>1615.71</v>
      </c>
      <c r="EE11" s="2">
        <v>1614.2</v>
      </c>
      <c r="EF11" s="2">
        <v>1612.44</v>
      </c>
      <c r="EG11" s="2">
        <v>1623.41</v>
      </c>
      <c r="EH11" s="2">
        <v>1620.29</v>
      </c>
      <c r="EI11" s="2">
        <v>1618.56</v>
      </c>
      <c r="EJ11" s="2">
        <v>1616.16</v>
      </c>
      <c r="EK11" s="2">
        <v>1618.1</v>
      </c>
      <c r="EL11" s="2">
        <v>1628.16</v>
      </c>
      <c r="EM11" s="2">
        <v>1623.4</v>
      </c>
      <c r="EN11" s="2">
        <v>1634.6</v>
      </c>
      <c r="EO11" s="2">
        <v>1610.67</v>
      </c>
      <c r="EP11" s="2">
        <v>1619.57</v>
      </c>
      <c r="EQ11" s="2">
        <v>1625.08</v>
      </c>
      <c r="ER11" s="2">
        <v>1621.61</v>
      </c>
      <c r="ES11" s="2">
        <v>1621.87</v>
      </c>
      <c r="ET11" s="2">
        <v>1630.78</v>
      </c>
      <c r="EU11" s="2">
        <v>1619.76</v>
      </c>
      <c r="EV11" s="2">
        <v>1625.17</v>
      </c>
      <c r="EW11" s="2">
        <v>1622.43</v>
      </c>
      <c r="EX11" s="2">
        <v>1629.45</v>
      </c>
      <c r="EY11" s="2">
        <v>1635.74</v>
      </c>
      <c r="EZ11" s="2">
        <v>1623.85</v>
      </c>
      <c r="FA11" s="2">
        <v>1624.05</v>
      </c>
      <c r="FB11" s="2">
        <v>1630.88</v>
      </c>
      <c r="FC11" s="2">
        <v>1628.67</v>
      </c>
      <c r="FD11" s="2">
        <v>1634.54</v>
      </c>
      <c r="FE11" s="2">
        <v>1640.58</v>
      </c>
      <c r="FF11" s="2">
        <v>1631.44</v>
      </c>
      <c r="FG11" s="2">
        <v>1632.1</v>
      </c>
      <c r="FH11" s="2">
        <v>1635.95</v>
      </c>
      <c r="FI11" s="2">
        <v>1645.13</v>
      </c>
      <c r="FJ11" s="2">
        <v>1646.57</v>
      </c>
      <c r="FK11" s="2">
        <v>1638.17</v>
      </c>
      <c r="FL11" s="2">
        <v>1633.99</v>
      </c>
      <c r="FM11" s="2">
        <v>1652.35</v>
      </c>
      <c r="FN11" s="2">
        <v>1644.5</v>
      </c>
      <c r="FO11" s="2">
        <v>1647.71</v>
      </c>
      <c r="FP11" s="2">
        <v>1650.08</v>
      </c>
      <c r="FQ11" s="2">
        <v>1620.6</v>
      </c>
      <c r="FR11" s="2">
        <v>1649.2</v>
      </c>
      <c r="FS11" s="2">
        <v>1651.14</v>
      </c>
      <c r="FT11" s="2">
        <v>1657.52</v>
      </c>
      <c r="FU11" s="2">
        <v>1658.93</v>
      </c>
      <c r="FV11" s="2">
        <v>1659.92</v>
      </c>
      <c r="FW11" s="2">
        <v>1654.57</v>
      </c>
      <c r="FX11" s="2">
        <v>1653.61</v>
      </c>
      <c r="FY11" s="2">
        <v>1651.56</v>
      </c>
      <c r="FZ11" s="2">
        <v>1660.49</v>
      </c>
      <c r="GA11" s="2">
        <v>1668.83</v>
      </c>
      <c r="GB11" s="2">
        <v>1669.83</v>
      </c>
      <c r="GC11" s="2">
        <v>1668.93</v>
      </c>
      <c r="GD11" s="2">
        <v>1671.03</v>
      </c>
      <c r="GE11" s="2">
        <v>1662.71</v>
      </c>
      <c r="GF11" s="2">
        <v>1646.5</v>
      </c>
      <c r="GG11" s="2">
        <v>1646.72</v>
      </c>
      <c r="GH11" s="2">
        <v>1646.14</v>
      </c>
      <c r="GI11" s="2">
        <v>1650.91</v>
      </c>
      <c r="GJ11" s="2">
        <v>1663.25</v>
      </c>
      <c r="GK11" s="2">
        <v>1669.45</v>
      </c>
      <c r="GL11" s="2">
        <v>1679.15</v>
      </c>
      <c r="GM11" s="2">
        <v>1680.4</v>
      </c>
      <c r="GN11" s="2">
        <v>1694.75</v>
      </c>
      <c r="GO11" s="2">
        <v>1700</v>
      </c>
      <c r="GP11" s="2">
        <v>1708.96</v>
      </c>
      <c r="GQ11" s="2">
        <v>1695.29</v>
      </c>
      <c r="GR11" s="2">
        <v>1690.46</v>
      </c>
      <c r="GS11" s="2">
        <v>1696.77</v>
      </c>
      <c r="GT11" s="2">
        <v>1690.54</v>
      </c>
      <c r="GU11" s="2">
        <v>1692.4</v>
      </c>
      <c r="GV11" s="2">
        <v>1694.42</v>
      </c>
      <c r="GW11" s="2">
        <v>1697.84</v>
      </c>
      <c r="GX11" s="2">
        <v>1704.99</v>
      </c>
      <c r="GY11" s="2">
        <v>1696.37</v>
      </c>
      <c r="GZ11" s="2">
        <v>1699.17</v>
      </c>
      <c r="HA11" s="2">
        <v>1701.18</v>
      </c>
      <c r="HB11" s="2">
        <v>1705.55</v>
      </c>
      <c r="HC11" s="2">
        <v>1708.56</v>
      </c>
      <c r="HD11" s="2">
        <v>1713.97</v>
      </c>
      <c r="HE11" s="2">
        <v>1713.19</v>
      </c>
      <c r="HF11" s="2">
        <v>1713.82</v>
      </c>
      <c r="HG11" s="2">
        <v>1709.62</v>
      </c>
      <c r="HH11" s="2">
        <v>1709.78</v>
      </c>
      <c r="HI11" s="2">
        <v>1720.07</v>
      </c>
      <c r="HJ11" s="2">
        <v>1725.41</v>
      </c>
      <c r="HK11" s="2">
        <v>1728.72</v>
      </c>
      <c r="HL11" s="2">
        <v>1732.73</v>
      </c>
      <c r="HM11" s="2">
        <v>1730</v>
      </c>
      <c r="HN11" s="2">
        <v>1736.17</v>
      </c>
      <c r="HO11" s="2">
        <v>1732.16</v>
      </c>
      <c r="HP11" s="2">
        <v>1731.02</v>
      </c>
      <c r="HQ11" s="2">
        <v>1739.78</v>
      </c>
      <c r="HR11" s="2">
        <v>1749.74</v>
      </c>
      <c r="HS11" s="2">
        <v>1721.1</v>
      </c>
      <c r="HT11" s="2">
        <v>1698.45</v>
      </c>
      <c r="HU11" s="2">
        <v>1688.35</v>
      </c>
      <c r="HV11" s="2">
        <v>1685.72</v>
      </c>
      <c r="HW11" s="2">
        <v>1685.72</v>
      </c>
      <c r="HX11" s="2">
        <v>1688.99</v>
      </c>
      <c r="HY11" s="2">
        <v>1695.5</v>
      </c>
      <c r="HZ11" s="2">
        <v>1689.95</v>
      </c>
      <c r="IA11" s="2">
        <v>1691.18</v>
      </c>
      <c r="IB11" s="2">
        <v>1690</v>
      </c>
      <c r="IC11" s="2">
        <v>1693.42</v>
      </c>
      <c r="ID11" s="2">
        <v>1708.09</v>
      </c>
      <c r="IE11" s="2">
        <v>1715</v>
      </c>
      <c r="IF11" s="2">
        <v>1720.62</v>
      </c>
      <c r="IG11" s="2">
        <v>1706.1</v>
      </c>
      <c r="IH11" s="2">
        <v>1709.55</v>
      </c>
      <c r="II11" s="2">
        <v>1715.79</v>
      </c>
      <c r="IJ11" s="2">
        <v>1731.71</v>
      </c>
      <c r="IK11" s="2">
        <v>1720.89</v>
      </c>
      <c r="IL11" s="2">
        <v>1726.62</v>
      </c>
      <c r="IM11" s="2">
        <v>1744.06</v>
      </c>
      <c r="IN11" s="2">
        <v>1713.9</v>
      </c>
      <c r="IO11" s="2">
        <v>1743.05</v>
      </c>
      <c r="IP11" s="2">
        <v>1707.75</v>
      </c>
      <c r="IQ11" s="2">
        <v>1708.33</v>
      </c>
      <c r="IR11" s="2">
        <v>1701.2</v>
      </c>
    </row>
    <row r="12" spans="1:252" ht="23.25" customHeight="1" x14ac:dyDescent="0.3">
      <c r="A12" s="4" t="s">
        <v>298</v>
      </c>
      <c r="B12" s="4">
        <v>4</v>
      </c>
      <c r="C12" s="4" t="s">
        <v>305</v>
      </c>
      <c r="D12" s="3" t="s">
        <v>300</v>
      </c>
      <c r="E12" s="3" t="s">
        <v>301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</row>
    <row r="13" spans="1:252" ht="23.25" customHeight="1" x14ac:dyDescent="0.3">
      <c r="A13" s="4" t="s">
        <v>298</v>
      </c>
      <c r="B13" s="4">
        <v>5</v>
      </c>
      <c r="C13" s="4" t="s">
        <v>306</v>
      </c>
      <c r="D13" s="3" t="s">
        <v>300</v>
      </c>
      <c r="E13" s="3" t="s">
        <v>301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</row>
    <row r="14" spans="1:252" ht="23.25" customHeight="1" x14ac:dyDescent="0.3">
      <c r="A14" s="4" t="s">
        <v>298</v>
      </c>
      <c r="B14" s="4">
        <v>6</v>
      </c>
      <c r="C14" s="4" t="s">
        <v>307</v>
      </c>
      <c r="D14" s="3" t="s">
        <v>300</v>
      </c>
      <c r="E14" s="3" t="s">
        <v>301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</row>
    <row r="15" spans="1:252" ht="23.25" customHeight="1" x14ac:dyDescent="0.3">
      <c r="A15" s="4" t="s">
        <v>298</v>
      </c>
      <c r="B15" s="4">
        <v>7</v>
      </c>
      <c r="C15" s="4" t="s">
        <v>308</v>
      </c>
      <c r="D15" s="3" t="s">
        <v>300</v>
      </c>
      <c r="E15" s="3" t="s">
        <v>301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</row>
    <row r="16" spans="1:252" ht="23.25" customHeight="1" x14ac:dyDescent="0.3">
      <c r="A16" s="4" t="s">
        <v>298</v>
      </c>
      <c r="B16" s="4">
        <v>8</v>
      </c>
      <c r="C16" s="4" t="s">
        <v>309</v>
      </c>
      <c r="D16" s="3" t="s">
        <v>300</v>
      </c>
      <c r="E16" s="3" t="s">
        <v>301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</row>
    <row r="17" spans="1:252" ht="23.25" customHeight="1" x14ac:dyDescent="0.3">
      <c r="A17" s="4" t="s">
        <v>298</v>
      </c>
      <c r="B17" s="4">
        <v>9</v>
      </c>
      <c r="C17" s="4" t="s">
        <v>310</v>
      </c>
      <c r="D17" s="3" t="s">
        <v>300</v>
      </c>
      <c r="E17" s="3" t="s">
        <v>301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</row>
    <row r="18" spans="1:252" ht="23.25" customHeight="1" x14ac:dyDescent="0.3">
      <c r="A18" s="4" t="s">
        <v>298</v>
      </c>
      <c r="B18" s="4">
        <v>10</v>
      </c>
      <c r="C18" s="4" t="s">
        <v>311</v>
      </c>
      <c r="D18" s="3" t="s">
        <v>300</v>
      </c>
      <c r="E18" s="3" t="s">
        <v>301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</row>
    <row r="19" spans="1:252" ht="23.25" customHeight="1" x14ac:dyDescent="0.3">
      <c r="A19" s="4" t="s">
        <v>298</v>
      </c>
      <c r="B19" s="4">
        <v>11</v>
      </c>
      <c r="C19" s="4" t="s">
        <v>312</v>
      </c>
      <c r="D19" s="3" t="s">
        <v>300</v>
      </c>
      <c r="E19" s="3" t="s">
        <v>301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</row>
    <row r="20" spans="1:252" ht="23.25" customHeight="1" x14ac:dyDescent="0.3">
      <c r="A20" s="4" t="s">
        <v>298</v>
      </c>
      <c r="B20" s="4">
        <v>12</v>
      </c>
      <c r="C20" s="4" t="s">
        <v>313</v>
      </c>
      <c r="D20" s="3" t="s">
        <v>300</v>
      </c>
      <c r="E20" s="3" t="s">
        <v>301</v>
      </c>
      <c r="F20" s="2">
        <v>1790.17</v>
      </c>
      <c r="G20" s="2">
        <v>1829.37</v>
      </c>
      <c r="H20" s="2">
        <v>1822.93</v>
      </c>
      <c r="I20" s="2">
        <v>1812.72</v>
      </c>
      <c r="J20" s="2">
        <v>1799.32</v>
      </c>
      <c r="K20" s="2">
        <v>1792.68</v>
      </c>
      <c r="L20" s="2">
        <v>1797.35</v>
      </c>
      <c r="M20" s="2">
        <v>1809.1</v>
      </c>
      <c r="N20" s="2">
        <v>1807.54</v>
      </c>
      <c r="O20" s="2">
        <v>1822.55</v>
      </c>
      <c r="P20" s="2">
        <v>1816.54</v>
      </c>
      <c r="Q20" s="2">
        <v>1818.74</v>
      </c>
      <c r="R20" s="2">
        <v>1823</v>
      </c>
      <c r="S20" s="2">
        <v>1812.92</v>
      </c>
      <c r="T20" s="2">
        <v>1823.94</v>
      </c>
      <c r="U20" s="2">
        <v>1814.21</v>
      </c>
      <c r="V20" s="2">
        <v>1803.72</v>
      </c>
      <c r="W20" s="2">
        <v>1812.77</v>
      </c>
      <c r="X20" s="2">
        <v>1815.38</v>
      </c>
      <c r="Y20" s="2">
        <v>1814.4</v>
      </c>
      <c r="Z20" s="2">
        <v>1852.69</v>
      </c>
      <c r="AA20" s="2">
        <v>1867.56</v>
      </c>
      <c r="AB20" s="2">
        <v>1877.15</v>
      </c>
      <c r="AC20" s="2">
        <v>1857.72</v>
      </c>
      <c r="AD20" s="2">
        <v>1869.85</v>
      </c>
      <c r="AE20" s="2">
        <v>1869.02</v>
      </c>
      <c r="AF20" s="2">
        <v>1887.76</v>
      </c>
      <c r="AG20" s="2">
        <v>1882.52</v>
      </c>
      <c r="AH20" s="2">
        <v>1880.43</v>
      </c>
      <c r="AI20" s="2">
        <v>1881.13</v>
      </c>
      <c r="AJ20" s="2">
        <v>1880.45</v>
      </c>
      <c r="AK20" s="2">
        <v>1881.3</v>
      </c>
      <c r="AL20" s="2">
        <v>1888.79</v>
      </c>
      <c r="AM20" s="2">
        <v>1891.93</v>
      </c>
      <c r="AN20" s="2">
        <v>1894.21</v>
      </c>
      <c r="AO20" s="2">
        <v>1895.31</v>
      </c>
      <c r="AP20" s="2">
        <v>1901.88</v>
      </c>
      <c r="AQ20" s="2">
        <v>1886.21</v>
      </c>
      <c r="AR20" s="2">
        <v>1899.14</v>
      </c>
      <c r="AS20" s="2">
        <v>1897.36</v>
      </c>
      <c r="AT20" s="2">
        <v>1900.02</v>
      </c>
      <c r="AU20" s="2">
        <v>1902.1</v>
      </c>
      <c r="AV20" s="2">
        <v>1911.74</v>
      </c>
      <c r="AW20" s="2">
        <v>1920.67</v>
      </c>
      <c r="AX20" s="2">
        <v>1855.04</v>
      </c>
      <c r="AY20" s="2">
        <v>1866.68</v>
      </c>
      <c r="AZ20" s="2">
        <v>1878.84</v>
      </c>
      <c r="BA20" s="2">
        <v>1900.71</v>
      </c>
      <c r="BB20" s="2">
        <v>1891.6</v>
      </c>
      <c r="BC20" s="2">
        <v>1897.43</v>
      </c>
      <c r="BD20" s="2">
        <v>1880.67</v>
      </c>
      <c r="BE20" s="2">
        <v>1882.67</v>
      </c>
      <c r="BF20" s="2">
        <v>1889.59</v>
      </c>
      <c r="BG20" s="2">
        <v>1883.85</v>
      </c>
      <c r="BH20" s="2">
        <v>1891.23</v>
      </c>
      <c r="BI20" s="2">
        <v>1898.56</v>
      </c>
      <c r="BJ20" s="2">
        <v>1888.22</v>
      </c>
      <c r="BK20" s="2">
        <v>1893.24</v>
      </c>
      <c r="BL20" s="2">
        <v>1907.17</v>
      </c>
      <c r="BM20" s="2">
        <v>1907.87</v>
      </c>
      <c r="BN20" s="2">
        <v>1933.77</v>
      </c>
      <c r="BO20" s="2">
        <v>1928.6</v>
      </c>
      <c r="BP20" s="2">
        <v>1895.14</v>
      </c>
      <c r="BQ20" s="2">
        <v>1903.73</v>
      </c>
      <c r="BR20" s="2">
        <v>1852.69</v>
      </c>
      <c r="BS20" s="2">
        <v>1848.86</v>
      </c>
      <c r="BT20" s="2">
        <v>1868.04</v>
      </c>
      <c r="BU20" s="2">
        <v>1844.82</v>
      </c>
      <c r="BV20" s="2">
        <v>1880.72</v>
      </c>
      <c r="BW20" s="2">
        <v>1878.27</v>
      </c>
      <c r="BX20" s="2">
        <v>1862.66</v>
      </c>
      <c r="BY20" s="2">
        <v>1854.42</v>
      </c>
      <c r="BZ20" s="2">
        <v>1867.24</v>
      </c>
      <c r="CA20" s="2">
        <v>1865.04</v>
      </c>
      <c r="CB20" s="2">
        <v>1859.96</v>
      </c>
      <c r="CC20" s="2">
        <v>1850.36</v>
      </c>
      <c r="CD20" s="2">
        <v>1864.25</v>
      </c>
      <c r="CE20" s="2">
        <v>1851.83</v>
      </c>
      <c r="CF20" s="2">
        <v>1848.98</v>
      </c>
      <c r="CG20" s="2">
        <v>1850.21</v>
      </c>
      <c r="CH20" s="2">
        <v>1864.48</v>
      </c>
      <c r="CI20" s="2">
        <v>1852.79</v>
      </c>
      <c r="CJ20" s="2">
        <v>1861.98</v>
      </c>
      <c r="CK20" s="2">
        <v>1861.77</v>
      </c>
      <c r="CL20" s="2">
        <v>1839.41</v>
      </c>
      <c r="CM20" s="2">
        <v>1841.51</v>
      </c>
      <c r="CN20" s="2">
        <v>1836.2</v>
      </c>
      <c r="CO20" s="2">
        <v>1856.85</v>
      </c>
      <c r="CP20" s="2">
        <v>1855.79</v>
      </c>
      <c r="CQ20" s="2">
        <v>1852.56</v>
      </c>
      <c r="CR20" s="2">
        <v>1851.56</v>
      </c>
      <c r="CS20" s="2">
        <v>1828.35</v>
      </c>
      <c r="CT20" s="2">
        <v>1842.7</v>
      </c>
      <c r="CU20" s="2">
        <v>1858.46</v>
      </c>
      <c r="CV20" s="2">
        <v>1838.35</v>
      </c>
      <c r="CW20" s="2">
        <v>1871.02</v>
      </c>
      <c r="CX20" s="2">
        <v>1858.38</v>
      </c>
      <c r="CY20" s="2">
        <v>1861.1</v>
      </c>
      <c r="CZ20" s="2">
        <v>1863.17</v>
      </c>
      <c r="DA20" s="2">
        <v>1861.86</v>
      </c>
      <c r="DB20" s="2">
        <v>1858.9</v>
      </c>
      <c r="DC20" s="2">
        <v>1858.88</v>
      </c>
      <c r="DD20" s="2">
        <v>1855.72</v>
      </c>
      <c r="DE20" s="2">
        <v>1854.55</v>
      </c>
      <c r="DF20" s="2">
        <v>1862.34</v>
      </c>
      <c r="DG20" s="2">
        <v>1861.04</v>
      </c>
      <c r="DH20" s="2">
        <v>1859.45</v>
      </c>
      <c r="DI20" s="2">
        <v>1866.86</v>
      </c>
      <c r="DJ20" s="2">
        <v>1865.15</v>
      </c>
      <c r="DK20" s="2">
        <v>1853.78</v>
      </c>
      <c r="DL20" s="2">
        <v>1850.71</v>
      </c>
      <c r="DM20" s="2">
        <v>1850.88</v>
      </c>
      <c r="DN20" s="2">
        <v>1860.66</v>
      </c>
      <c r="DO20" s="2">
        <v>1868.19</v>
      </c>
      <c r="DP20" s="2">
        <v>1866.82</v>
      </c>
      <c r="DQ20" s="2">
        <v>1876.45</v>
      </c>
      <c r="DR20" s="2">
        <v>1875.11</v>
      </c>
      <c r="DS20" s="2">
        <v>1873.37</v>
      </c>
      <c r="DT20" s="2">
        <v>1848.91</v>
      </c>
      <c r="DU20" s="2">
        <v>1848.66</v>
      </c>
      <c r="DV20" s="2">
        <v>1843.28</v>
      </c>
      <c r="DW20" s="2">
        <v>1857.73</v>
      </c>
      <c r="DX20" s="2">
        <v>1832.69</v>
      </c>
      <c r="DY20" s="2">
        <v>1836.72</v>
      </c>
      <c r="DZ20" s="2">
        <v>1857.99</v>
      </c>
      <c r="EA20" s="2">
        <v>1841.29</v>
      </c>
      <c r="EB20" s="2">
        <v>1844.17</v>
      </c>
      <c r="EC20" s="2">
        <v>1856.23</v>
      </c>
      <c r="ED20" s="2">
        <v>1861.47</v>
      </c>
      <c r="EE20" s="2">
        <v>1863.2</v>
      </c>
      <c r="EF20" s="2">
        <v>1864.97</v>
      </c>
      <c r="EG20" s="2">
        <v>1876.91</v>
      </c>
      <c r="EH20" s="2">
        <v>1879.34</v>
      </c>
      <c r="EI20" s="2">
        <v>1874.06</v>
      </c>
      <c r="EJ20" s="2">
        <v>1871.12</v>
      </c>
      <c r="EK20" s="2">
        <v>1874.23</v>
      </c>
      <c r="EL20" s="2">
        <v>1879.92</v>
      </c>
      <c r="EM20" s="2">
        <v>1875.69</v>
      </c>
      <c r="EN20" s="2">
        <v>1886.01</v>
      </c>
      <c r="EO20" s="2">
        <v>1865.27</v>
      </c>
      <c r="EP20" s="2">
        <v>1875.13</v>
      </c>
      <c r="EQ20" s="2">
        <v>1884.2</v>
      </c>
      <c r="ER20" s="2">
        <v>1875.86</v>
      </c>
      <c r="ES20" s="2">
        <v>1873.88</v>
      </c>
      <c r="ET20" s="2">
        <v>1886.08</v>
      </c>
      <c r="EU20" s="2">
        <v>1863.67</v>
      </c>
      <c r="EV20" s="2">
        <v>1873.48</v>
      </c>
      <c r="EW20" s="2">
        <v>1871.02</v>
      </c>
      <c r="EX20" s="2">
        <v>1877.12</v>
      </c>
      <c r="EY20" s="2">
        <v>1884.06</v>
      </c>
      <c r="EZ20" s="2">
        <v>1875.86</v>
      </c>
      <c r="FA20" s="2">
        <v>1878.39</v>
      </c>
      <c r="FB20" s="2">
        <v>1886.53</v>
      </c>
      <c r="FC20" s="2">
        <v>1882.52</v>
      </c>
      <c r="FD20" s="2">
        <v>1890.21</v>
      </c>
      <c r="FE20" s="2">
        <v>1886.98</v>
      </c>
      <c r="FF20" s="2">
        <v>1880.94</v>
      </c>
      <c r="FG20" s="2">
        <v>1876.41</v>
      </c>
      <c r="FH20" s="2">
        <v>1877.11</v>
      </c>
      <c r="FI20" s="2">
        <v>1883.99</v>
      </c>
      <c r="FJ20" s="2">
        <v>1885.04</v>
      </c>
      <c r="FK20" s="2">
        <v>1876.21</v>
      </c>
      <c r="FL20" s="2">
        <v>1868.41</v>
      </c>
      <c r="FM20" s="2">
        <v>1892.39</v>
      </c>
      <c r="FN20" s="2">
        <v>1883.72</v>
      </c>
      <c r="FO20" s="2">
        <v>1887.3</v>
      </c>
      <c r="FP20" s="2">
        <v>1895.5</v>
      </c>
      <c r="FQ20" s="2">
        <v>1863.9</v>
      </c>
      <c r="FR20" s="2">
        <v>1896.08</v>
      </c>
      <c r="FS20" s="2">
        <v>1902.91</v>
      </c>
      <c r="FT20" s="2">
        <v>1902.63</v>
      </c>
      <c r="FU20" s="2">
        <v>1908.98</v>
      </c>
      <c r="FV20" s="2">
        <v>1907.48</v>
      </c>
      <c r="FW20" s="2">
        <v>1905.68</v>
      </c>
      <c r="FX20" s="2">
        <v>1903.64</v>
      </c>
      <c r="FY20" s="2">
        <v>1903.42</v>
      </c>
      <c r="FZ20" s="2">
        <v>1910.11</v>
      </c>
      <c r="GA20" s="2">
        <v>1914.41</v>
      </c>
      <c r="GB20" s="2">
        <v>1913.1</v>
      </c>
      <c r="GC20" s="2">
        <v>1910.88</v>
      </c>
      <c r="GD20" s="2">
        <v>1903.46</v>
      </c>
      <c r="GE20" s="2">
        <v>1890.63</v>
      </c>
      <c r="GF20" s="2">
        <v>1872.15</v>
      </c>
      <c r="GG20" s="2">
        <v>1875.82</v>
      </c>
      <c r="GH20" s="2">
        <v>1877.35</v>
      </c>
      <c r="GI20" s="2">
        <v>1871.81</v>
      </c>
      <c r="GJ20" s="2">
        <v>1888.26</v>
      </c>
      <c r="GK20" s="2">
        <v>1898.8</v>
      </c>
      <c r="GL20" s="2">
        <v>1911.79</v>
      </c>
      <c r="GM20" s="2">
        <v>1915.54</v>
      </c>
      <c r="GN20" s="2">
        <v>1924.03</v>
      </c>
      <c r="GO20" s="2">
        <v>1925.53</v>
      </c>
      <c r="GP20" s="2">
        <v>1933.49</v>
      </c>
      <c r="GQ20" s="2">
        <v>1920.48</v>
      </c>
      <c r="GR20" s="2">
        <v>1918.47</v>
      </c>
      <c r="GS20" s="2">
        <v>1926.52</v>
      </c>
      <c r="GT20" s="2">
        <v>1912.7</v>
      </c>
      <c r="GU20" s="2">
        <v>1919.2</v>
      </c>
      <c r="GV20" s="2">
        <v>1927.95</v>
      </c>
      <c r="GW20" s="2">
        <v>1931.54</v>
      </c>
      <c r="GX20" s="2">
        <v>1940.53</v>
      </c>
      <c r="GY20" s="2">
        <v>1937.13</v>
      </c>
      <c r="GZ20" s="2">
        <v>1939.32</v>
      </c>
      <c r="HA20" s="2">
        <v>1941</v>
      </c>
      <c r="HB20" s="2">
        <v>1940.9</v>
      </c>
      <c r="HC20" s="2">
        <v>1942.08</v>
      </c>
      <c r="HD20" s="2">
        <v>1960.79</v>
      </c>
      <c r="HE20" s="2">
        <v>1960.7</v>
      </c>
      <c r="HF20" s="2">
        <v>1961.57</v>
      </c>
      <c r="HG20" s="2">
        <v>1957.15</v>
      </c>
      <c r="HH20" s="2">
        <v>1955.85</v>
      </c>
      <c r="HI20" s="2">
        <v>1968.13</v>
      </c>
      <c r="HJ20" s="2">
        <v>1967.95</v>
      </c>
      <c r="HK20" s="2">
        <v>1968.51</v>
      </c>
      <c r="HL20" s="2">
        <v>1972.2</v>
      </c>
      <c r="HM20" s="2">
        <v>1976.77</v>
      </c>
      <c r="HN20" s="2">
        <v>1977.7</v>
      </c>
      <c r="HO20" s="2">
        <v>1976.86</v>
      </c>
      <c r="HP20" s="2">
        <v>1977.44</v>
      </c>
      <c r="HQ20" s="2">
        <v>1991.71</v>
      </c>
      <c r="HR20" s="2">
        <v>2004.59</v>
      </c>
      <c r="HS20" s="2">
        <v>1972.76</v>
      </c>
      <c r="HT20" s="2">
        <v>1946.6</v>
      </c>
      <c r="HU20" s="2">
        <v>1936.84</v>
      </c>
      <c r="HV20" s="2">
        <v>1932.31</v>
      </c>
      <c r="HW20" s="2">
        <v>1933.31</v>
      </c>
      <c r="HX20" s="2">
        <v>1940.2</v>
      </c>
      <c r="HY20" s="2">
        <v>1958.61</v>
      </c>
      <c r="HZ20" s="2">
        <v>1951.98</v>
      </c>
      <c r="IA20" s="2">
        <v>1949.19</v>
      </c>
      <c r="IB20" s="2">
        <v>1947.63</v>
      </c>
      <c r="IC20" s="2">
        <v>1950.57</v>
      </c>
      <c r="ID20" s="2">
        <v>1971.26</v>
      </c>
      <c r="IE20" s="2">
        <v>1977.23</v>
      </c>
      <c r="IF20" s="2">
        <v>1985.98</v>
      </c>
      <c r="IG20" s="2">
        <v>1966.46</v>
      </c>
      <c r="IH20" s="2">
        <v>1971.4</v>
      </c>
      <c r="II20" s="2">
        <v>1977.79</v>
      </c>
      <c r="IJ20" s="2">
        <v>1985.46</v>
      </c>
      <c r="IK20" s="2">
        <v>1977.9</v>
      </c>
      <c r="IL20" s="2">
        <v>1983.44</v>
      </c>
      <c r="IM20" s="2">
        <v>2007.06</v>
      </c>
      <c r="IN20" s="2">
        <v>1973.53</v>
      </c>
      <c r="IO20" s="2">
        <v>2004.27</v>
      </c>
      <c r="IP20" s="2">
        <v>1971.83</v>
      </c>
      <c r="IQ20" s="2">
        <v>1970.62</v>
      </c>
      <c r="IR20" s="2">
        <v>1963.18</v>
      </c>
    </row>
    <row r="21" spans="1:252" ht="23.25" customHeight="1" x14ac:dyDescent="0.3">
      <c r="A21" s="4" t="s">
        <v>298</v>
      </c>
      <c r="B21" s="4">
        <v>13</v>
      </c>
      <c r="C21" s="4" t="s">
        <v>314</v>
      </c>
      <c r="D21" s="3" t="s">
        <v>300</v>
      </c>
      <c r="E21" s="3" t="s">
        <v>301</v>
      </c>
      <c r="F21" s="2">
        <v>987.7</v>
      </c>
      <c r="G21" s="2">
        <v>1020.28</v>
      </c>
      <c r="H21" s="2">
        <v>1019.58</v>
      </c>
      <c r="I21" s="2">
        <v>1012.85</v>
      </c>
      <c r="J21" s="2">
        <v>1011.18</v>
      </c>
      <c r="K21" s="2">
        <v>1009.31</v>
      </c>
      <c r="L21" s="2">
        <v>1014.77</v>
      </c>
      <c r="M21" s="2">
        <v>1017.43</v>
      </c>
      <c r="N21" s="2">
        <v>1015.77</v>
      </c>
      <c r="O21" s="2">
        <v>1021.95</v>
      </c>
      <c r="P21" s="2">
        <v>1017.7</v>
      </c>
      <c r="Q21" s="2">
        <v>1015.79</v>
      </c>
      <c r="R21" s="2">
        <v>1017.33</v>
      </c>
      <c r="S21" s="2">
        <v>1011.69</v>
      </c>
      <c r="T21" s="2">
        <v>1015.66</v>
      </c>
      <c r="U21" s="2">
        <v>1009.04</v>
      </c>
      <c r="V21" s="2">
        <v>1001.65</v>
      </c>
      <c r="W21" s="2">
        <v>999.93</v>
      </c>
      <c r="X21" s="2">
        <v>998.57</v>
      </c>
      <c r="Y21" s="2">
        <v>997.44</v>
      </c>
      <c r="Z21" s="2">
        <v>1006.66</v>
      </c>
      <c r="AA21" s="2">
        <v>1013.89</v>
      </c>
      <c r="AB21" s="2">
        <v>1015.94</v>
      </c>
      <c r="AC21" s="2">
        <v>1008.75</v>
      </c>
      <c r="AD21" s="2">
        <v>1005.84</v>
      </c>
      <c r="AE21" s="2">
        <v>1005.44</v>
      </c>
      <c r="AF21" s="2">
        <v>1010.47</v>
      </c>
      <c r="AG21" s="2">
        <v>1011.14</v>
      </c>
      <c r="AH21" s="2">
        <v>1006.27</v>
      </c>
      <c r="AI21" s="2">
        <v>1012.77</v>
      </c>
      <c r="AJ21" s="2">
        <v>1012.94</v>
      </c>
      <c r="AK21" s="2">
        <v>1011.96</v>
      </c>
      <c r="AL21" s="2">
        <v>1014</v>
      </c>
      <c r="AM21" s="2">
        <v>1018.6</v>
      </c>
      <c r="AN21" s="2">
        <v>1023.05</v>
      </c>
      <c r="AO21" s="2">
        <v>1024.5899999999999</v>
      </c>
      <c r="AP21" s="2">
        <v>1029.46</v>
      </c>
      <c r="AQ21" s="2">
        <v>1024.1500000000001</v>
      </c>
      <c r="AR21" s="2">
        <v>1025.05</v>
      </c>
      <c r="AS21" s="2">
        <v>1024.4100000000001</v>
      </c>
      <c r="AT21" s="2">
        <v>1021.89</v>
      </c>
      <c r="AU21" s="2">
        <v>1029.4100000000001</v>
      </c>
      <c r="AV21" s="2">
        <v>1029.31</v>
      </c>
      <c r="AW21" s="2">
        <v>1041.53</v>
      </c>
      <c r="AX21" s="2">
        <v>1010.64</v>
      </c>
      <c r="AY21" s="2">
        <v>1029.53</v>
      </c>
      <c r="AZ21" s="2">
        <v>1031.03</v>
      </c>
      <c r="BA21" s="2">
        <v>1051.3699999999999</v>
      </c>
      <c r="BB21" s="2">
        <v>1044.17</v>
      </c>
      <c r="BC21" s="2">
        <v>1045.47</v>
      </c>
      <c r="BD21" s="2">
        <v>1027.1300000000001</v>
      </c>
      <c r="BE21" s="2">
        <v>1019.41</v>
      </c>
      <c r="BF21" s="2">
        <v>1029.9100000000001</v>
      </c>
      <c r="BG21" s="2">
        <v>1026.05</v>
      </c>
      <c r="BH21" s="2">
        <v>1027.95</v>
      </c>
      <c r="BI21" s="2">
        <v>1025.3599999999999</v>
      </c>
      <c r="BJ21" s="2">
        <v>1028.04</v>
      </c>
      <c r="BK21" s="2">
        <v>1028.1400000000001</v>
      </c>
      <c r="BL21" s="2">
        <v>1032.3</v>
      </c>
      <c r="BM21" s="2">
        <v>1034.73</v>
      </c>
      <c r="BN21" s="2">
        <v>1040.67</v>
      </c>
      <c r="BO21" s="2">
        <v>1039.98</v>
      </c>
      <c r="BP21" s="2">
        <v>1030.07</v>
      </c>
      <c r="BQ21" s="2">
        <v>1035.72</v>
      </c>
      <c r="BR21" s="2">
        <v>1007.55</v>
      </c>
      <c r="BS21" s="2">
        <v>1002.69</v>
      </c>
      <c r="BT21" s="2">
        <v>1009.34</v>
      </c>
      <c r="BU21" s="2">
        <v>1002.11</v>
      </c>
      <c r="BV21" s="2">
        <v>1014.64</v>
      </c>
      <c r="BW21" s="2">
        <v>1012.95</v>
      </c>
      <c r="BX21" s="2">
        <v>1002.94</v>
      </c>
      <c r="BY21" s="2">
        <v>999.18</v>
      </c>
      <c r="BZ21" s="2">
        <v>1001.47</v>
      </c>
      <c r="CA21" s="2">
        <v>1001.19</v>
      </c>
      <c r="CB21" s="2">
        <v>1000.29</v>
      </c>
      <c r="CC21" s="2">
        <v>994.66</v>
      </c>
      <c r="CD21" s="2">
        <v>1003.06</v>
      </c>
      <c r="CE21" s="2">
        <v>993.74</v>
      </c>
      <c r="CF21" s="2">
        <v>990.34</v>
      </c>
      <c r="CG21" s="2">
        <v>993.35</v>
      </c>
      <c r="CH21" s="2">
        <v>1000.51</v>
      </c>
      <c r="CI21" s="2">
        <v>1002.33</v>
      </c>
      <c r="CJ21" s="2">
        <v>1003.64</v>
      </c>
      <c r="CK21" s="2">
        <v>1004.61</v>
      </c>
      <c r="CL21" s="2">
        <v>992.26</v>
      </c>
      <c r="CM21" s="2">
        <v>991.72</v>
      </c>
      <c r="CN21" s="2">
        <v>994.88</v>
      </c>
      <c r="CO21" s="2">
        <v>1001.61</v>
      </c>
      <c r="CP21" s="2">
        <v>1002.02</v>
      </c>
      <c r="CQ21" s="2">
        <v>1006.18</v>
      </c>
      <c r="CR21" s="2">
        <v>1004.9</v>
      </c>
      <c r="CS21" s="2">
        <v>994.92</v>
      </c>
      <c r="CT21" s="2">
        <v>1002.67</v>
      </c>
      <c r="CU21" s="2">
        <v>1007.12</v>
      </c>
      <c r="CV21" s="2">
        <v>996</v>
      </c>
      <c r="CW21" s="2">
        <v>1006.34</v>
      </c>
      <c r="CX21" s="2">
        <v>994.46</v>
      </c>
      <c r="CY21" s="2">
        <v>992.02</v>
      </c>
      <c r="CZ21" s="2">
        <v>995.02</v>
      </c>
      <c r="DA21" s="2">
        <v>991.41</v>
      </c>
      <c r="DB21" s="2">
        <v>994.86</v>
      </c>
      <c r="DC21" s="2">
        <v>991.1</v>
      </c>
      <c r="DD21" s="2">
        <v>1000.48</v>
      </c>
      <c r="DE21" s="2">
        <v>999.85</v>
      </c>
      <c r="DF21" s="2">
        <v>1002.72</v>
      </c>
      <c r="DG21" s="2">
        <v>999.78</v>
      </c>
      <c r="DH21" s="2">
        <v>1001.13</v>
      </c>
      <c r="DI21" s="2">
        <v>1003.69</v>
      </c>
      <c r="DJ21" s="2">
        <v>1005.53</v>
      </c>
      <c r="DK21" s="2">
        <v>1003.72</v>
      </c>
      <c r="DL21" s="2">
        <v>1005.87</v>
      </c>
      <c r="DM21" s="2">
        <v>1007.84</v>
      </c>
      <c r="DN21" s="2">
        <v>1013.44</v>
      </c>
      <c r="DO21" s="2">
        <v>1012.23</v>
      </c>
      <c r="DP21" s="2">
        <v>1013.91</v>
      </c>
      <c r="DQ21" s="2">
        <v>1016.89</v>
      </c>
      <c r="DR21" s="2">
        <v>1019</v>
      </c>
      <c r="DS21" s="2">
        <v>1013.9</v>
      </c>
      <c r="DT21" s="2">
        <v>1003.26</v>
      </c>
      <c r="DU21" s="2">
        <v>1004.6</v>
      </c>
      <c r="DV21" s="2">
        <v>1004.48</v>
      </c>
      <c r="DW21" s="2">
        <v>1010.38</v>
      </c>
      <c r="DX21" s="2">
        <v>999.96</v>
      </c>
      <c r="DY21" s="2">
        <v>1003.65</v>
      </c>
      <c r="DZ21" s="2">
        <v>1015.35</v>
      </c>
      <c r="EA21" s="2">
        <v>1005.66</v>
      </c>
      <c r="EB21" s="2">
        <v>1006.79</v>
      </c>
      <c r="EC21" s="2">
        <v>1011.28</v>
      </c>
      <c r="ED21" s="2">
        <v>1007.61</v>
      </c>
      <c r="EE21" s="2">
        <v>1007.67</v>
      </c>
      <c r="EF21" s="2">
        <v>1007.77</v>
      </c>
      <c r="EG21" s="2">
        <v>1009.73</v>
      </c>
      <c r="EH21" s="2">
        <v>1006.14</v>
      </c>
      <c r="EI21" s="2">
        <v>1000.47</v>
      </c>
      <c r="EJ21" s="2">
        <v>1003.62</v>
      </c>
      <c r="EK21" s="2">
        <v>1001.98</v>
      </c>
      <c r="EL21" s="2">
        <v>1007.28</v>
      </c>
      <c r="EM21" s="2">
        <v>1005.39</v>
      </c>
      <c r="EN21" s="2">
        <v>1009.04</v>
      </c>
      <c r="EO21" s="2">
        <v>1000.4</v>
      </c>
      <c r="EP21" s="2">
        <v>1005.53</v>
      </c>
      <c r="EQ21" s="2">
        <v>1012.51</v>
      </c>
      <c r="ER21" s="2">
        <v>1009.82</v>
      </c>
      <c r="ES21" s="2">
        <v>1010.01</v>
      </c>
      <c r="ET21" s="2">
        <v>1012.51</v>
      </c>
      <c r="EU21" s="2">
        <v>1009.9</v>
      </c>
      <c r="EV21" s="2">
        <v>1010.44</v>
      </c>
      <c r="EW21" s="2">
        <v>1007.74</v>
      </c>
      <c r="EX21" s="2">
        <v>1005.6</v>
      </c>
      <c r="EY21" s="2">
        <v>1007.5</v>
      </c>
      <c r="EZ21" s="2">
        <v>1001.48</v>
      </c>
      <c r="FA21" s="2">
        <v>1001.05</v>
      </c>
      <c r="FB21" s="2">
        <v>1004.34</v>
      </c>
      <c r="FC21" s="2">
        <v>1003.4</v>
      </c>
      <c r="FD21" s="2">
        <v>1008.49</v>
      </c>
      <c r="FE21" s="2">
        <v>1005.97</v>
      </c>
      <c r="FF21" s="2">
        <v>1002.14</v>
      </c>
      <c r="FG21" s="2">
        <v>1003.66</v>
      </c>
      <c r="FH21" s="2">
        <v>1011.1</v>
      </c>
      <c r="FI21" s="2">
        <v>1008.46</v>
      </c>
      <c r="FJ21" s="2">
        <v>1007.3</v>
      </c>
      <c r="FK21" s="2">
        <v>1003.78</v>
      </c>
      <c r="FL21" s="2">
        <v>1004.59</v>
      </c>
      <c r="FM21" s="2">
        <v>1012.41</v>
      </c>
      <c r="FN21" s="2">
        <v>1007.69</v>
      </c>
      <c r="FO21" s="2">
        <v>1008.12</v>
      </c>
      <c r="FP21" s="2">
        <v>1008.86</v>
      </c>
      <c r="FQ21" s="2">
        <v>999.64</v>
      </c>
      <c r="FR21" s="2">
        <v>1014.93</v>
      </c>
      <c r="FS21" s="2">
        <v>1016.95</v>
      </c>
      <c r="FT21" s="2">
        <v>1017.31</v>
      </c>
      <c r="FU21" s="2">
        <v>1014.1</v>
      </c>
      <c r="FV21" s="2">
        <v>1010.25</v>
      </c>
      <c r="FW21" s="2">
        <v>1013.02</v>
      </c>
      <c r="FX21" s="2">
        <v>1012.08</v>
      </c>
      <c r="FY21" s="2">
        <v>1015.48</v>
      </c>
      <c r="FZ21" s="2">
        <v>1022.27</v>
      </c>
      <c r="GA21" s="2">
        <v>1027.06</v>
      </c>
      <c r="GB21" s="2">
        <v>1026.45</v>
      </c>
      <c r="GC21" s="2">
        <v>1024.31</v>
      </c>
      <c r="GD21" s="2">
        <v>1028.47</v>
      </c>
      <c r="GE21" s="2">
        <v>1027.6099999999999</v>
      </c>
      <c r="GF21" s="2">
        <v>1017.73</v>
      </c>
      <c r="GG21" s="2">
        <v>1018.63</v>
      </c>
      <c r="GH21" s="2">
        <v>1016.65</v>
      </c>
      <c r="GI21" s="2">
        <v>1019.32</v>
      </c>
      <c r="GJ21" s="2">
        <v>1025.6600000000001</v>
      </c>
      <c r="GK21" s="2">
        <v>1024.01</v>
      </c>
      <c r="GL21" s="2">
        <v>1035.47</v>
      </c>
      <c r="GM21" s="2">
        <v>1036.8399999999999</v>
      </c>
      <c r="GN21" s="2">
        <v>1043.9100000000001</v>
      </c>
      <c r="GO21" s="2">
        <v>1046.6400000000001</v>
      </c>
      <c r="GP21" s="2">
        <v>1047.06</v>
      </c>
      <c r="GQ21" s="2">
        <v>1040.08</v>
      </c>
      <c r="GR21" s="2">
        <v>1037.79</v>
      </c>
      <c r="GS21" s="2">
        <v>1047.69</v>
      </c>
      <c r="GT21" s="2">
        <v>1043.1500000000001</v>
      </c>
      <c r="GU21" s="2">
        <v>1041.6400000000001</v>
      </c>
      <c r="GV21" s="2">
        <v>1044.3</v>
      </c>
      <c r="GW21" s="2">
        <v>1044.44</v>
      </c>
      <c r="GX21" s="2">
        <v>1045.07</v>
      </c>
      <c r="GY21" s="2">
        <v>1041.55</v>
      </c>
      <c r="GZ21" s="2">
        <v>1044.31</v>
      </c>
      <c r="HA21" s="2">
        <v>1049.24</v>
      </c>
      <c r="HB21" s="2">
        <v>1049.58</v>
      </c>
      <c r="HC21" s="2">
        <v>1051.82</v>
      </c>
      <c r="HD21" s="2">
        <v>1052.79</v>
      </c>
      <c r="HE21" s="2">
        <v>1054.2</v>
      </c>
      <c r="HF21" s="2">
        <v>1064.58</v>
      </c>
      <c r="HG21" s="2">
        <v>1060.42</v>
      </c>
      <c r="HH21" s="2">
        <v>1062.01</v>
      </c>
      <c r="HI21" s="2">
        <v>1065.93</v>
      </c>
      <c r="HJ21" s="2">
        <v>1066.94</v>
      </c>
      <c r="HK21" s="2">
        <v>1069.28</v>
      </c>
      <c r="HL21" s="2">
        <v>1070.75</v>
      </c>
      <c r="HM21" s="2">
        <v>1070.52</v>
      </c>
      <c r="HN21" s="2">
        <v>1072.54</v>
      </c>
      <c r="HO21" s="2">
        <v>1072.49</v>
      </c>
      <c r="HP21" s="2">
        <v>1071.22</v>
      </c>
      <c r="HQ21" s="2">
        <v>1075.8</v>
      </c>
      <c r="HR21" s="2">
        <v>1083.5999999999999</v>
      </c>
      <c r="HS21" s="2">
        <v>1068.1199999999999</v>
      </c>
      <c r="HT21" s="2">
        <v>1055.43</v>
      </c>
      <c r="HU21" s="2">
        <v>1047.52</v>
      </c>
      <c r="HV21" s="2">
        <v>1047.72</v>
      </c>
      <c r="HW21" s="2">
        <v>1045.73</v>
      </c>
      <c r="HX21" s="2">
        <v>1049.53</v>
      </c>
      <c r="HY21" s="2">
        <v>1050.6099999999999</v>
      </c>
      <c r="HZ21" s="2">
        <v>1046.6199999999999</v>
      </c>
      <c r="IA21" s="2">
        <v>1044.95</v>
      </c>
      <c r="IB21" s="2">
        <v>1045.52</v>
      </c>
      <c r="IC21" s="2">
        <v>1046.3599999999999</v>
      </c>
      <c r="ID21" s="2">
        <v>1055.1300000000001</v>
      </c>
      <c r="IE21" s="2">
        <v>1060.56</v>
      </c>
      <c r="IF21" s="2">
        <v>1064.44</v>
      </c>
      <c r="IG21" s="2">
        <v>1058.21</v>
      </c>
      <c r="IH21" s="2">
        <v>1059.1600000000001</v>
      </c>
      <c r="II21" s="2">
        <v>1062.4000000000001</v>
      </c>
      <c r="IJ21" s="2">
        <v>1067.31</v>
      </c>
      <c r="IK21" s="2">
        <v>1064.58</v>
      </c>
      <c r="IL21" s="2">
        <v>1065.29</v>
      </c>
      <c r="IM21" s="2">
        <v>1071.46</v>
      </c>
      <c r="IN21" s="2">
        <v>1052.29</v>
      </c>
      <c r="IO21" s="2">
        <v>1066.2</v>
      </c>
      <c r="IP21" s="2">
        <v>1053.27</v>
      </c>
      <c r="IQ21" s="2">
        <v>1057.94</v>
      </c>
      <c r="IR21" s="2">
        <v>1052.07</v>
      </c>
    </row>
    <row r="22" spans="1:252" ht="23.25" customHeight="1" x14ac:dyDescent="0.3">
      <c r="A22" s="4" t="s">
        <v>298</v>
      </c>
      <c r="B22" s="4">
        <v>14</v>
      </c>
      <c r="C22" s="4" t="s">
        <v>315</v>
      </c>
      <c r="D22" s="3" t="s">
        <v>300</v>
      </c>
      <c r="E22" s="3" t="s">
        <v>301</v>
      </c>
      <c r="F22" s="2">
        <v>1589.63</v>
      </c>
      <c r="G22" s="2">
        <v>1613.88</v>
      </c>
      <c r="H22" s="2">
        <v>1613.61</v>
      </c>
      <c r="I22" s="2">
        <v>1608.34</v>
      </c>
      <c r="J22" s="2">
        <v>1599.45</v>
      </c>
      <c r="K22" s="2">
        <v>1588.98</v>
      </c>
      <c r="L22" s="2">
        <v>1594.86</v>
      </c>
      <c r="M22" s="2">
        <v>1591.83</v>
      </c>
      <c r="N22" s="2">
        <v>1589.89</v>
      </c>
      <c r="O22" s="2">
        <v>1605.69</v>
      </c>
      <c r="P22" s="2">
        <v>1604.47</v>
      </c>
      <c r="Q22" s="2">
        <v>1599.45</v>
      </c>
      <c r="R22" s="2">
        <v>1597.5</v>
      </c>
      <c r="S22" s="2">
        <v>1592.97</v>
      </c>
      <c r="T22" s="2">
        <v>1603.43</v>
      </c>
      <c r="U22" s="2">
        <v>1597.79</v>
      </c>
      <c r="V22" s="2">
        <v>1592.25</v>
      </c>
      <c r="W22" s="2">
        <v>1602.4</v>
      </c>
      <c r="X22" s="2">
        <v>1601.12</v>
      </c>
      <c r="Y22" s="2">
        <v>1599.82</v>
      </c>
      <c r="Z22" s="2">
        <v>1626.2</v>
      </c>
      <c r="AA22" s="2">
        <v>1640.37</v>
      </c>
      <c r="AB22" s="2">
        <v>1634.58</v>
      </c>
      <c r="AC22" s="2">
        <v>1631.97</v>
      </c>
      <c r="AD22" s="2">
        <v>1648.58</v>
      </c>
      <c r="AE22" s="2">
        <v>1648.68</v>
      </c>
      <c r="AF22" s="2">
        <v>1651.26</v>
      </c>
      <c r="AG22" s="2">
        <v>1646.91</v>
      </c>
      <c r="AH22" s="2">
        <v>1644.56</v>
      </c>
      <c r="AI22" s="2">
        <v>1645.98</v>
      </c>
      <c r="AJ22" s="2">
        <v>1643.12</v>
      </c>
      <c r="AK22" s="2">
        <v>1650.15</v>
      </c>
      <c r="AL22" s="2">
        <v>1656.18</v>
      </c>
      <c r="AM22" s="2">
        <v>1655.17</v>
      </c>
      <c r="AN22" s="2">
        <v>1661.08</v>
      </c>
      <c r="AO22" s="2">
        <v>1661.83</v>
      </c>
      <c r="AP22" s="2">
        <v>1664.89</v>
      </c>
      <c r="AQ22" s="2">
        <v>1657.02</v>
      </c>
      <c r="AR22" s="2">
        <v>1663.7</v>
      </c>
      <c r="AS22" s="2">
        <v>1665.81</v>
      </c>
      <c r="AT22" s="2">
        <v>1663.29</v>
      </c>
      <c r="AU22" s="2">
        <v>1665.1</v>
      </c>
      <c r="AV22" s="2">
        <v>1669.57</v>
      </c>
      <c r="AW22" s="2">
        <v>1708.3</v>
      </c>
      <c r="AX22" s="2">
        <v>1690.31</v>
      </c>
      <c r="AY22" s="2">
        <v>1705.03</v>
      </c>
      <c r="AZ22" s="2">
        <v>1737.62</v>
      </c>
      <c r="BA22" s="2">
        <v>1733.37</v>
      </c>
      <c r="BB22" s="2">
        <v>1771.21</v>
      </c>
      <c r="BC22" s="2">
        <v>1774.9</v>
      </c>
      <c r="BD22" s="2">
        <v>1750.12</v>
      </c>
      <c r="BE22" s="2">
        <v>1733.72</v>
      </c>
      <c r="BF22" s="2">
        <v>1754.42</v>
      </c>
      <c r="BG22" s="2">
        <v>1733.81</v>
      </c>
      <c r="BH22" s="2">
        <v>1747.82</v>
      </c>
      <c r="BI22" s="2">
        <v>1755.09</v>
      </c>
      <c r="BJ22" s="2">
        <v>1722.8</v>
      </c>
      <c r="BK22" s="2">
        <v>1719.73</v>
      </c>
      <c r="BL22" s="2">
        <v>1728.13</v>
      </c>
      <c r="BM22" s="2">
        <v>1731.46</v>
      </c>
      <c r="BN22" s="2">
        <v>1752.47</v>
      </c>
      <c r="BO22" s="2">
        <v>1745.96</v>
      </c>
      <c r="BP22" s="2">
        <v>1721.33</v>
      </c>
      <c r="BQ22" s="2">
        <v>1726.6</v>
      </c>
      <c r="BR22" s="2">
        <v>1692.49</v>
      </c>
      <c r="BS22" s="2">
        <v>1678.89</v>
      </c>
      <c r="BT22" s="2">
        <v>1685.27</v>
      </c>
      <c r="BU22" s="2">
        <v>1656.1</v>
      </c>
      <c r="BV22" s="2">
        <v>1684.28</v>
      </c>
      <c r="BW22" s="2">
        <v>1683.27</v>
      </c>
      <c r="BX22" s="2">
        <v>1676.07</v>
      </c>
      <c r="BY22" s="2">
        <v>1670.12</v>
      </c>
      <c r="BZ22" s="2">
        <v>1673.95</v>
      </c>
      <c r="CA22" s="2">
        <v>1683.1</v>
      </c>
      <c r="CB22" s="2">
        <v>1679.3</v>
      </c>
      <c r="CC22" s="2">
        <v>1664.63</v>
      </c>
      <c r="CD22" s="2">
        <v>1675.57</v>
      </c>
      <c r="CE22" s="2">
        <v>1663.62</v>
      </c>
      <c r="CF22" s="2">
        <v>1654.43</v>
      </c>
      <c r="CG22" s="2">
        <v>1658.44</v>
      </c>
      <c r="CH22" s="2">
        <v>1679.72</v>
      </c>
      <c r="CI22" s="2">
        <v>1673.8</v>
      </c>
      <c r="CJ22" s="2">
        <v>1671.91</v>
      </c>
      <c r="CK22" s="2">
        <v>1678.74</v>
      </c>
      <c r="CL22" s="2">
        <v>1654.79</v>
      </c>
      <c r="CM22" s="2">
        <v>1653.87</v>
      </c>
      <c r="CN22" s="2">
        <v>1653.47</v>
      </c>
      <c r="CO22" s="2">
        <v>1671.92</v>
      </c>
      <c r="CP22" s="2">
        <v>1682.28</v>
      </c>
      <c r="CQ22" s="2">
        <v>1683.77</v>
      </c>
      <c r="CR22" s="2">
        <v>1675.9</v>
      </c>
      <c r="CS22" s="2">
        <v>1666.91</v>
      </c>
      <c r="CT22" s="2">
        <v>1677.5</v>
      </c>
      <c r="CU22" s="2">
        <v>1688.72</v>
      </c>
      <c r="CV22" s="2">
        <v>1673.37</v>
      </c>
      <c r="CW22" s="2">
        <v>1701.53</v>
      </c>
      <c r="CX22" s="2">
        <v>1695.34</v>
      </c>
      <c r="CY22" s="2">
        <v>1692.45</v>
      </c>
      <c r="CZ22" s="2">
        <v>1694.78</v>
      </c>
      <c r="DA22" s="2">
        <v>1699</v>
      </c>
      <c r="DB22" s="2">
        <v>1706.83</v>
      </c>
      <c r="DC22" s="2">
        <v>1709.66</v>
      </c>
      <c r="DD22" s="2">
        <v>1716.85</v>
      </c>
      <c r="DE22" s="2">
        <v>1708.41</v>
      </c>
      <c r="DF22" s="2">
        <v>1717.6</v>
      </c>
      <c r="DG22" s="2">
        <v>1714.57</v>
      </c>
      <c r="DH22" s="2">
        <v>1719.02</v>
      </c>
      <c r="DI22" s="2">
        <v>1730.77</v>
      </c>
      <c r="DJ22" s="2">
        <v>1723.79</v>
      </c>
      <c r="DK22" s="2">
        <v>1724.41</v>
      </c>
      <c r="DL22" s="2">
        <v>1727.66</v>
      </c>
      <c r="DM22" s="2">
        <v>1724.82</v>
      </c>
      <c r="DN22" s="2">
        <v>1731.82</v>
      </c>
      <c r="DO22" s="2">
        <v>1732.76</v>
      </c>
      <c r="DP22" s="2">
        <v>1736.51</v>
      </c>
      <c r="DQ22" s="2">
        <v>1743.01</v>
      </c>
      <c r="DR22" s="2">
        <v>1748.72</v>
      </c>
      <c r="DS22" s="2">
        <v>1740.96</v>
      </c>
      <c r="DT22" s="2">
        <v>1721.31</v>
      </c>
      <c r="DU22" s="2">
        <v>1730.06</v>
      </c>
      <c r="DV22" s="2">
        <v>1717.1</v>
      </c>
      <c r="DW22" s="2">
        <v>1727.05</v>
      </c>
      <c r="DX22" s="2">
        <v>1699</v>
      </c>
      <c r="DY22" s="2">
        <v>1712.21</v>
      </c>
      <c r="DZ22" s="2">
        <v>1739.67</v>
      </c>
      <c r="EA22" s="2">
        <v>1715.79</v>
      </c>
      <c r="EB22" s="2">
        <v>1717.59</v>
      </c>
      <c r="EC22" s="2">
        <v>1723.62</v>
      </c>
      <c r="ED22" s="2">
        <v>1717.69</v>
      </c>
      <c r="EE22" s="2">
        <v>1715.67</v>
      </c>
      <c r="EF22" s="2">
        <v>1708.78</v>
      </c>
      <c r="EG22" s="2">
        <v>1724.28</v>
      </c>
      <c r="EH22" s="2">
        <v>1718.69</v>
      </c>
      <c r="EI22" s="2">
        <v>1713.72</v>
      </c>
      <c r="EJ22" s="2">
        <v>1715.65</v>
      </c>
      <c r="EK22" s="2">
        <v>1720.09</v>
      </c>
      <c r="EL22" s="2">
        <v>1737.86</v>
      </c>
      <c r="EM22" s="2">
        <v>1728.5</v>
      </c>
      <c r="EN22" s="2">
        <v>1739.39</v>
      </c>
      <c r="EO22" s="2">
        <v>1719.76</v>
      </c>
      <c r="EP22" s="2">
        <v>1731.1</v>
      </c>
      <c r="EQ22" s="2">
        <v>1740.82</v>
      </c>
      <c r="ER22" s="2">
        <v>1731.85</v>
      </c>
      <c r="ES22" s="2">
        <v>1732.46</v>
      </c>
      <c r="ET22" s="2">
        <v>1739.41</v>
      </c>
      <c r="EU22" s="2">
        <v>1729.33</v>
      </c>
      <c r="EV22" s="2">
        <v>1733.69</v>
      </c>
      <c r="EW22" s="2">
        <v>1728.67</v>
      </c>
      <c r="EX22" s="2">
        <v>1741.16</v>
      </c>
      <c r="EY22" s="2">
        <v>1753.01</v>
      </c>
      <c r="EZ22" s="2">
        <v>1739.88</v>
      </c>
      <c r="FA22" s="2">
        <v>1737.11</v>
      </c>
      <c r="FB22" s="2">
        <v>1746.03</v>
      </c>
      <c r="FC22" s="2">
        <v>1743.28</v>
      </c>
      <c r="FD22" s="2">
        <v>1748.57</v>
      </c>
      <c r="FE22" s="2">
        <v>1758.2</v>
      </c>
      <c r="FF22" s="2">
        <v>1750.16</v>
      </c>
      <c r="FG22" s="2">
        <v>1746.91</v>
      </c>
      <c r="FH22" s="2">
        <v>1750.75</v>
      </c>
      <c r="FI22" s="2">
        <v>1759.43</v>
      </c>
      <c r="FJ22" s="2">
        <v>1760.96</v>
      </c>
      <c r="FK22" s="2">
        <v>1755.03</v>
      </c>
      <c r="FL22" s="2">
        <v>1750.94</v>
      </c>
      <c r="FM22" s="2">
        <v>1769.81</v>
      </c>
      <c r="FN22" s="2">
        <v>1758.02</v>
      </c>
      <c r="FO22" s="2">
        <v>1762.48</v>
      </c>
      <c r="FP22" s="2">
        <v>1764.67</v>
      </c>
      <c r="FQ22" s="2">
        <v>1737.82</v>
      </c>
      <c r="FR22" s="2">
        <v>1771.75</v>
      </c>
      <c r="FS22" s="2">
        <v>1774.75</v>
      </c>
      <c r="FT22" s="2">
        <v>1782.94</v>
      </c>
      <c r="FU22" s="2">
        <v>1787.99</v>
      </c>
      <c r="FV22" s="2">
        <v>1791.34</v>
      </c>
      <c r="FW22" s="2">
        <v>1787.67</v>
      </c>
      <c r="FX22" s="2">
        <v>1792.05</v>
      </c>
      <c r="FY22" s="2">
        <v>1787.33</v>
      </c>
      <c r="FZ22" s="2">
        <v>1796.38</v>
      </c>
      <c r="GA22" s="2">
        <v>1806.7</v>
      </c>
      <c r="GB22" s="2">
        <v>1803.47</v>
      </c>
      <c r="GC22" s="2">
        <v>1802.45</v>
      </c>
      <c r="GD22" s="2">
        <v>1807.68</v>
      </c>
      <c r="GE22" s="2">
        <v>1791.59</v>
      </c>
      <c r="GF22" s="2">
        <v>1775.34</v>
      </c>
      <c r="GG22" s="2">
        <v>1774.82</v>
      </c>
      <c r="GH22" s="2">
        <v>1768.35</v>
      </c>
      <c r="GI22" s="2">
        <v>1773.84</v>
      </c>
      <c r="GJ22" s="2">
        <v>1785.65</v>
      </c>
      <c r="GK22" s="2">
        <v>1792.77</v>
      </c>
      <c r="GL22" s="2">
        <v>1802.52</v>
      </c>
      <c r="GM22" s="2">
        <v>1805.61</v>
      </c>
      <c r="GN22" s="2">
        <v>1827.74</v>
      </c>
      <c r="GO22" s="2">
        <v>1838.52</v>
      </c>
      <c r="GP22" s="2">
        <v>1852.86</v>
      </c>
      <c r="GQ22" s="2">
        <v>1837.83</v>
      </c>
      <c r="GR22" s="2">
        <v>1831.81</v>
      </c>
      <c r="GS22" s="2">
        <v>1831.27</v>
      </c>
      <c r="GT22" s="2">
        <v>1818.86</v>
      </c>
      <c r="GU22" s="2">
        <v>1822.29</v>
      </c>
      <c r="GV22" s="2">
        <v>1819.98</v>
      </c>
      <c r="GW22" s="2">
        <v>1822.62</v>
      </c>
      <c r="GX22" s="2">
        <v>1824.88</v>
      </c>
      <c r="GY22" s="2">
        <v>1819.5</v>
      </c>
      <c r="GZ22" s="2">
        <v>1820.98</v>
      </c>
      <c r="HA22" s="2">
        <v>1824.73</v>
      </c>
      <c r="HB22" s="2">
        <v>1825.99</v>
      </c>
      <c r="HC22" s="2">
        <v>1830.48</v>
      </c>
      <c r="HD22" s="2">
        <v>1836.91</v>
      </c>
      <c r="HE22" s="2">
        <v>1830.79</v>
      </c>
      <c r="HF22" s="2">
        <v>1828.81</v>
      </c>
      <c r="HG22" s="2">
        <v>1820.66</v>
      </c>
      <c r="HH22" s="2">
        <v>1823.98</v>
      </c>
      <c r="HI22" s="2">
        <v>1838.46</v>
      </c>
      <c r="HJ22" s="2">
        <v>1848.78</v>
      </c>
      <c r="HK22" s="2">
        <v>1850.69</v>
      </c>
      <c r="HL22" s="2">
        <v>1851.3</v>
      </c>
      <c r="HM22" s="2">
        <v>1851.49</v>
      </c>
      <c r="HN22" s="2">
        <v>1859.06</v>
      </c>
      <c r="HO22" s="2">
        <v>1859.75</v>
      </c>
      <c r="HP22" s="2">
        <v>1857.82</v>
      </c>
      <c r="HQ22" s="2">
        <v>1868.24</v>
      </c>
      <c r="HR22" s="2">
        <v>1884.16</v>
      </c>
      <c r="HS22" s="2">
        <v>1854.14</v>
      </c>
      <c r="HT22" s="2">
        <v>1827.89</v>
      </c>
      <c r="HU22" s="2">
        <v>1817.94</v>
      </c>
      <c r="HV22" s="2">
        <v>1811.97</v>
      </c>
      <c r="HW22" s="2">
        <v>1810.83</v>
      </c>
      <c r="HX22" s="2">
        <v>1819.57</v>
      </c>
      <c r="HY22" s="2">
        <v>1826.88</v>
      </c>
      <c r="HZ22" s="2">
        <v>1817.23</v>
      </c>
      <c r="IA22" s="2">
        <v>1815.94</v>
      </c>
      <c r="IB22" s="2">
        <v>1814.13</v>
      </c>
      <c r="IC22" s="2">
        <v>1816.67</v>
      </c>
      <c r="ID22" s="2">
        <v>1835.98</v>
      </c>
      <c r="IE22" s="2">
        <v>1838.82</v>
      </c>
      <c r="IF22" s="2">
        <v>1847.68</v>
      </c>
      <c r="IG22" s="2">
        <v>1829.24</v>
      </c>
      <c r="IH22" s="2">
        <v>1841.18</v>
      </c>
      <c r="II22" s="2">
        <v>1847.77</v>
      </c>
      <c r="IJ22" s="2">
        <v>1869.98</v>
      </c>
      <c r="IK22" s="2">
        <v>1850.83</v>
      </c>
      <c r="IL22" s="2">
        <v>1861.68</v>
      </c>
      <c r="IM22" s="2">
        <v>1891.45</v>
      </c>
      <c r="IN22" s="2">
        <v>1856.77</v>
      </c>
      <c r="IO22" s="2">
        <v>1901.19</v>
      </c>
      <c r="IP22" s="2">
        <v>1859.07</v>
      </c>
      <c r="IQ22" s="2">
        <v>1866.82</v>
      </c>
      <c r="IR22" s="2">
        <v>1855.72</v>
      </c>
    </row>
    <row r="23" spans="1:252" ht="23.25" customHeight="1" x14ac:dyDescent="0.3">
      <c r="A23" s="4" t="s">
        <v>298</v>
      </c>
      <c r="B23" s="4">
        <v>17</v>
      </c>
      <c r="C23" s="4" t="s">
        <v>316</v>
      </c>
      <c r="D23" s="3" t="s">
        <v>300</v>
      </c>
      <c r="E23" s="3" t="s">
        <v>301</v>
      </c>
      <c r="F23" s="2">
        <v>894.54</v>
      </c>
      <c r="G23" s="2">
        <v>915.39</v>
      </c>
      <c r="H23" s="2">
        <v>913.37</v>
      </c>
      <c r="I23" s="2">
        <v>911.25</v>
      </c>
      <c r="J23" s="2">
        <v>908.92</v>
      </c>
      <c r="K23" s="2">
        <v>905.06</v>
      </c>
      <c r="L23" s="2">
        <v>912.66</v>
      </c>
      <c r="M23" s="2">
        <v>914.91</v>
      </c>
      <c r="N23" s="2">
        <v>912.31</v>
      </c>
      <c r="O23" s="2">
        <v>915.99</v>
      </c>
      <c r="P23" s="2">
        <v>916.71</v>
      </c>
      <c r="Q23" s="2">
        <v>915.46</v>
      </c>
      <c r="R23" s="2">
        <v>917.09</v>
      </c>
      <c r="S23" s="2">
        <v>914.13</v>
      </c>
      <c r="T23" s="2">
        <v>922.22</v>
      </c>
      <c r="U23" s="2">
        <v>913.74</v>
      </c>
      <c r="V23" s="2">
        <v>906.76</v>
      </c>
      <c r="W23" s="2">
        <v>908.28</v>
      </c>
      <c r="X23" s="2">
        <v>903.32</v>
      </c>
      <c r="Y23" s="2">
        <v>897.73</v>
      </c>
      <c r="Z23" s="2">
        <v>907.17</v>
      </c>
      <c r="AA23" s="2">
        <v>916.26</v>
      </c>
      <c r="AB23" s="2">
        <v>922.52</v>
      </c>
      <c r="AC23" s="2">
        <v>913.25</v>
      </c>
      <c r="AD23" s="2">
        <v>910.66</v>
      </c>
      <c r="AE23" s="2">
        <v>910.6</v>
      </c>
      <c r="AF23" s="2">
        <v>918.19</v>
      </c>
      <c r="AG23" s="2">
        <v>918.68</v>
      </c>
      <c r="AH23" s="2">
        <v>912.74</v>
      </c>
      <c r="AI23" s="2">
        <v>920.38</v>
      </c>
      <c r="AJ23" s="2">
        <v>924.33</v>
      </c>
      <c r="AK23" s="2">
        <v>920.43</v>
      </c>
      <c r="AL23" s="2">
        <v>923.3</v>
      </c>
      <c r="AM23" s="2">
        <v>919.66</v>
      </c>
      <c r="AN23" s="2">
        <v>920.92</v>
      </c>
      <c r="AO23" s="2">
        <v>921.87</v>
      </c>
      <c r="AP23" s="2">
        <v>926.29</v>
      </c>
      <c r="AQ23" s="2">
        <v>920.21</v>
      </c>
      <c r="AR23" s="2">
        <v>923.79</v>
      </c>
      <c r="AS23" s="2">
        <v>920.67</v>
      </c>
      <c r="AT23" s="2">
        <v>918.24</v>
      </c>
      <c r="AU23" s="2">
        <v>924.6</v>
      </c>
      <c r="AV23" s="2">
        <v>917.3</v>
      </c>
      <c r="AW23" s="2">
        <v>926.85</v>
      </c>
      <c r="AX23" s="2">
        <v>862.43</v>
      </c>
      <c r="AY23" s="2">
        <v>879.47</v>
      </c>
      <c r="AZ23" s="2">
        <v>874.92</v>
      </c>
      <c r="BA23" s="2">
        <v>910.43</v>
      </c>
      <c r="BB23" s="2">
        <v>907.11</v>
      </c>
      <c r="BC23" s="2">
        <v>911.39</v>
      </c>
      <c r="BD23" s="2">
        <v>902.47</v>
      </c>
      <c r="BE23" s="2">
        <v>900.66</v>
      </c>
      <c r="BF23" s="2">
        <v>909.9</v>
      </c>
      <c r="BG23" s="2">
        <v>906.96</v>
      </c>
      <c r="BH23" s="2">
        <v>907.56</v>
      </c>
      <c r="BI23" s="2">
        <v>910.15</v>
      </c>
      <c r="BJ23" s="2">
        <v>906.05</v>
      </c>
      <c r="BK23" s="2">
        <v>908.1</v>
      </c>
      <c r="BL23" s="2">
        <v>916.62</v>
      </c>
      <c r="BM23" s="2">
        <v>917.07</v>
      </c>
      <c r="BN23" s="2">
        <v>925.25</v>
      </c>
      <c r="BO23" s="2">
        <v>918.19</v>
      </c>
      <c r="BP23" s="2">
        <v>910.65</v>
      </c>
      <c r="BQ23" s="2">
        <v>927.93</v>
      </c>
      <c r="BR23" s="2">
        <v>895.92</v>
      </c>
      <c r="BS23" s="2">
        <v>893.02</v>
      </c>
      <c r="BT23" s="2">
        <v>902.75</v>
      </c>
      <c r="BU23" s="2">
        <v>892.19</v>
      </c>
      <c r="BV23" s="2">
        <v>914.81</v>
      </c>
      <c r="BW23" s="2">
        <v>909.86</v>
      </c>
      <c r="BX23" s="2">
        <v>896.23</v>
      </c>
      <c r="BY23" s="2">
        <v>893.54</v>
      </c>
      <c r="BZ23" s="2">
        <v>902.34</v>
      </c>
      <c r="CA23" s="2">
        <v>894.33</v>
      </c>
      <c r="CB23" s="2">
        <v>892.25</v>
      </c>
      <c r="CC23" s="2">
        <v>883.62</v>
      </c>
      <c r="CD23" s="2">
        <v>895.6</v>
      </c>
      <c r="CE23" s="2">
        <v>885.07</v>
      </c>
      <c r="CF23" s="2">
        <v>882.07</v>
      </c>
      <c r="CG23" s="2">
        <v>883.8</v>
      </c>
      <c r="CH23" s="2">
        <v>890.24</v>
      </c>
      <c r="CI23" s="2">
        <v>887.05</v>
      </c>
      <c r="CJ23" s="2">
        <v>889.96</v>
      </c>
      <c r="CK23" s="2">
        <v>892.08</v>
      </c>
      <c r="CL23" s="2">
        <v>883.08</v>
      </c>
      <c r="CM23" s="2">
        <v>885.32</v>
      </c>
      <c r="CN23" s="2">
        <v>887.33</v>
      </c>
      <c r="CO23" s="2">
        <v>890.47</v>
      </c>
      <c r="CP23" s="2">
        <v>890.18</v>
      </c>
      <c r="CQ23" s="2">
        <v>886.64</v>
      </c>
      <c r="CR23" s="2">
        <v>889.82</v>
      </c>
      <c r="CS23" s="2">
        <v>881.22</v>
      </c>
      <c r="CT23" s="2">
        <v>893.54</v>
      </c>
      <c r="CU23" s="2">
        <v>894.46</v>
      </c>
      <c r="CV23" s="2">
        <v>881.96</v>
      </c>
      <c r="CW23" s="2">
        <v>894.57</v>
      </c>
      <c r="CX23" s="2">
        <v>886.02</v>
      </c>
      <c r="CY23" s="2">
        <v>887.03</v>
      </c>
      <c r="CZ23" s="2">
        <v>888.82</v>
      </c>
      <c r="DA23" s="2">
        <v>886.61</v>
      </c>
      <c r="DB23" s="2">
        <v>891.07</v>
      </c>
      <c r="DC23" s="2">
        <v>890.01</v>
      </c>
      <c r="DD23" s="2">
        <v>895.37</v>
      </c>
      <c r="DE23" s="2">
        <v>892.81</v>
      </c>
      <c r="DF23" s="2">
        <v>893.96</v>
      </c>
      <c r="DG23" s="2">
        <v>888.22</v>
      </c>
      <c r="DH23" s="2">
        <v>893.37</v>
      </c>
      <c r="DI23" s="2">
        <v>898.05</v>
      </c>
      <c r="DJ23" s="2">
        <v>905.29</v>
      </c>
      <c r="DK23" s="2">
        <v>902.9</v>
      </c>
      <c r="DL23" s="2">
        <v>902.02</v>
      </c>
      <c r="DM23" s="2">
        <v>900.83</v>
      </c>
      <c r="DN23" s="2">
        <v>904.94</v>
      </c>
      <c r="DO23" s="2">
        <v>903.6</v>
      </c>
      <c r="DP23" s="2">
        <v>905.85</v>
      </c>
      <c r="DQ23" s="2">
        <v>907.62</v>
      </c>
      <c r="DR23" s="2">
        <v>908.44</v>
      </c>
      <c r="DS23" s="2">
        <v>910.69</v>
      </c>
      <c r="DT23" s="2">
        <v>902.73</v>
      </c>
      <c r="DU23" s="2">
        <v>904.44</v>
      </c>
      <c r="DV23" s="2">
        <v>900.19</v>
      </c>
      <c r="DW23" s="2">
        <v>906.01</v>
      </c>
      <c r="DX23" s="2">
        <v>891.07</v>
      </c>
      <c r="DY23" s="2">
        <v>894.37</v>
      </c>
      <c r="DZ23" s="2">
        <v>904.65</v>
      </c>
      <c r="EA23" s="2">
        <v>896.38</v>
      </c>
      <c r="EB23" s="2">
        <v>897.47</v>
      </c>
      <c r="EC23" s="2">
        <v>903.94</v>
      </c>
      <c r="ED23" s="2">
        <v>903.26</v>
      </c>
      <c r="EE23" s="2">
        <v>903.6</v>
      </c>
      <c r="EF23" s="2">
        <v>904.41</v>
      </c>
      <c r="EG23" s="2">
        <v>907.8</v>
      </c>
      <c r="EH23" s="2">
        <v>905.97</v>
      </c>
      <c r="EI23" s="2">
        <v>900.09</v>
      </c>
      <c r="EJ23" s="2">
        <v>899.34</v>
      </c>
      <c r="EK23" s="2">
        <v>896.58</v>
      </c>
      <c r="EL23" s="2">
        <v>898.94</v>
      </c>
      <c r="EM23" s="2">
        <v>897.93</v>
      </c>
      <c r="EN23" s="2">
        <v>905.47</v>
      </c>
      <c r="EO23" s="2">
        <v>898.74</v>
      </c>
      <c r="EP23" s="2">
        <v>903.79</v>
      </c>
      <c r="EQ23" s="2">
        <v>908.46</v>
      </c>
      <c r="ER23" s="2">
        <v>906.76</v>
      </c>
      <c r="ES23" s="2">
        <v>907.97</v>
      </c>
      <c r="ET23" s="2">
        <v>912.51</v>
      </c>
      <c r="EU23" s="2">
        <v>907.51</v>
      </c>
      <c r="EV23" s="2">
        <v>912.03</v>
      </c>
      <c r="EW23" s="2">
        <v>907.76</v>
      </c>
      <c r="EX23" s="2">
        <v>911.56</v>
      </c>
      <c r="EY23" s="2">
        <v>917.04</v>
      </c>
      <c r="EZ23" s="2">
        <v>913.21</v>
      </c>
      <c r="FA23" s="2">
        <v>918.52</v>
      </c>
      <c r="FB23" s="2">
        <v>925.97</v>
      </c>
      <c r="FC23" s="2">
        <v>923.07</v>
      </c>
      <c r="FD23" s="2">
        <v>926.94</v>
      </c>
      <c r="FE23" s="2">
        <v>924.07</v>
      </c>
      <c r="FF23" s="2">
        <v>918.67</v>
      </c>
      <c r="FG23" s="2">
        <v>915.71</v>
      </c>
      <c r="FH23" s="2">
        <v>918.87</v>
      </c>
      <c r="FI23" s="2">
        <v>919.97</v>
      </c>
      <c r="FJ23" s="2">
        <v>919.84</v>
      </c>
      <c r="FK23" s="2">
        <v>918.54</v>
      </c>
      <c r="FL23" s="2">
        <v>915.58</v>
      </c>
      <c r="FM23" s="2">
        <v>924.53</v>
      </c>
      <c r="FN23" s="2">
        <v>922.37</v>
      </c>
      <c r="FO23" s="2">
        <v>928.71</v>
      </c>
      <c r="FP23" s="2">
        <v>929.86</v>
      </c>
      <c r="FQ23" s="2">
        <v>918.88</v>
      </c>
      <c r="FR23" s="2">
        <v>922.69</v>
      </c>
      <c r="FS23" s="2">
        <v>930.08</v>
      </c>
      <c r="FT23" s="2">
        <v>927.32</v>
      </c>
      <c r="FU23" s="2">
        <v>927.5</v>
      </c>
      <c r="FV23" s="2">
        <v>920.57</v>
      </c>
      <c r="FW23" s="2">
        <v>923.1</v>
      </c>
      <c r="FX23" s="2">
        <v>925.4</v>
      </c>
      <c r="FY23" s="2">
        <v>924.27</v>
      </c>
      <c r="FZ23" s="2">
        <v>927.92</v>
      </c>
      <c r="GA23" s="2">
        <v>935.73</v>
      </c>
      <c r="GB23" s="2">
        <v>938.56</v>
      </c>
      <c r="GC23" s="2">
        <v>939.29</v>
      </c>
      <c r="GD23" s="2">
        <v>943.91</v>
      </c>
      <c r="GE23" s="2">
        <v>941.41</v>
      </c>
      <c r="GF23" s="2">
        <v>932.77</v>
      </c>
      <c r="GG23" s="2">
        <v>934.02</v>
      </c>
      <c r="GH23" s="2">
        <v>934.28</v>
      </c>
      <c r="GI23" s="2">
        <v>933.07</v>
      </c>
      <c r="GJ23" s="2">
        <v>941.49</v>
      </c>
      <c r="GK23" s="2">
        <v>936.68</v>
      </c>
      <c r="GL23" s="2">
        <v>945.03</v>
      </c>
      <c r="GM23" s="2">
        <v>950.14</v>
      </c>
      <c r="GN23" s="2">
        <v>955.1</v>
      </c>
      <c r="GO23" s="2">
        <v>958.44</v>
      </c>
      <c r="GP23" s="2">
        <v>959.95</v>
      </c>
      <c r="GQ23" s="2">
        <v>952.91</v>
      </c>
      <c r="GR23" s="2">
        <v>947.38</v>
      </c>
      <c r="GS23" s="2">
        <v>953.92</v>
      </c>
      <c r="GT23" s="2">
        <v>949.76</v>
      </c>
      <c r="GU23" s="2">
        <v>945.5</v>
      </c>
      <c r="GV23" s="2">
        <v>951.43</v>
      </c>
      <c r="GW23" s="2">
        <v>952.91</v>
      </c>
      <c r="GX23" s="2">
        <v>953.5</v>
      </c>
      <c r="GY23" s="2">
        <v>953.68</v>
      </c>
      <c r="GZ23" s="2">
        <v>957.39</v>
      </c>
      <c r="HA23" s="2">
        <v>960.31</v>
      </c>
      <c r="HB23" s="2">
        <v>961.23</v>
      </c>
      <c r="HC23" s="2">
        <v>965.16</v>
      </c>
      <c r="HD23" s="2">
        <v>969.34</v>
      </c>
      <c r="HE23" s="2">
        <v>972.29</v>
      </c>
      <c r="HF23" s="2">
        <v>976.74</v>
      </c>
      <c r="HG23" s="2">
        <v>973.21</v>
      </c>
      <c r="HH23" s="2">
        <v>976.71</v>
      </c>
      <c r="HI23" s="2">
        <v>980.98</v>
      </c>
      <c r="HJ23" s="2">
        <v>979.35</v>
      </c>
      <c r="HK23" s="2">
        <v>978.33</v>
      </c>
      <c r="HL23" s="2">
        <v>979.69</v>
      </c>
      <c r="HM23" s="2">
        <v>976.42</v>
      </c>
      <c r="HN23" s="2">
        <v>976.69</v>
      </c>
      <c r="HO23" s="2">
        <v>976.95</v>
      </c>
      <c r="HP23" s="2">
        <v>977.05</v>
      </c>
      <c r="HQ23" s="2">
        <v>985.1</v>
      </c>
      <c r="HR23" s="2">
        <v>994.03</v>
      </c>
      <c r="HS23" s="2">
        <v>978.97</v>
      </c>
      <c r="HT23" s="2">
        <v>968.36</v>
      </c>
      <c r="HU23" s="2">
        <v>959.92</v>
      </c>
      <c r="HV23" s="2">
        <v>961.02</v>
      </c>
      <c r="HW23" s="2">
        <v>957.51</v>
      </c>
      <c r="HX23" s="2">
        <v>964.55</v>
      </c>
      <c r="HY23" s="2">
        <v>971.38</v>
      </c>
      <c r="HZ23" s="2">
        <v>974.55</v>
      </c>
      <c r="IA23" s="2">
        <v>973.55</v>
      </c>
      <c r="IB23" s="2">
        <v>971.17</v>
      </c>
      <c r="IC23" s="2">
        <v>973.57</v>
      </c>
      <c r="ID23" s="2">
        <v>982.26</v>
      </c>
      <c r="IE23" s="2">
        <v>984.94</v>
      </c>
      <c r="IF23" s="2">
        <v>987.12</v>
      </c>
      <c r="IG23" s="2">
        <v>984.77</v>
      </c>
      <c r="IH23" s="2">
        <v>984.22</v>
      </c>
      <c r="II23" s="2">
        <v>989.15</v>
      </c>
      <c r="IJ23" s="2">
        <v>994.69</v>
      </c>
      <c r="IK23" s="2">
        <v>995.32</v>
      </c>
      <c r="IL23" s="2">
        <v>1004.46</v>
      </c>
      <c r="IM23" s="2">
        <v>1016.7</v>
      </c>
      <c r="IN23" s="2">
        <v>997.41</v>
      </c>
      <c r="IO23" s="2">
        <v>1014.3</v>
      </c>
      <c r="IP23" s="2">
        <v>1004.66</v>
      </c>
      <c r="IQ23" s="2">
        <v>1005.75</v>
      </c>
      <c r="IR23" s="2">
        <v>995.78</v>
      </c>
    </row>
    <row r="24" spans="1:252" ht="23.25" customHeight="1" x14ac:dyDescent="0.3">
      <c r="A24" s="4" t="s">
        <v>298</v>
      </c>
      <c r="B24" s="4">
        <v>26</v>
      </c>
      <c r="C24" s="4" t="s">
        <v>317</v>
      </c>
      <c r="D24" s="3" t="s">
        <v>300</v>
      </c>
      <c r="E24" s="3" t="s">
        <v>301</v>
      </c>
      <c r="F24" s="2">
        <v>811.06</v>
      </c>
      <c r="G24" s="2">
        <v>828.26</v>
      </c>
      <c r="H24" s="2">
        <v>825.28</v>
      </c>
      <c r="I24" s="2">
        <v>824.54</v>
      </c>
      <c r="J24" s="2">
        <v>820.87</v>
      </c>
      <c r="K24" s="2">
        <v>817.49</v>
      </c>
      <c r="L24" s="2">
        <v>819.72</v>
      </c>
      <c r="M24" s="2">
        <v>821.88</v>
      </c>
      <c r="N24" s="2">
        <v>819.34</v>
      </c>
      <c r="O24" s="2">
        <v>823.52</v>
      </c>
      <c r="P24" s="2">
        <v>826.65</v>
      </c>
      <c r="Q24" s="2">
        <v>825.82</v>
      </c>
      <c r="R24" s="2">
        <v>823.67</v>
      </c>
      <c r="S24" s="2">
        <v>821.93</v>
      </c>
      <c r="T24" s="2">
        <v>830.53</v>
      </c>
      <c r="U24" s="2">
        <v>824.97</v>
      </c>
      <c r="V24" s="2">
        <v>818.86</v>
      </c>
      <c r="W24" s="2">
        <v>819.58</v>
      </c>
      <c r="X24" s="2">
        <v>815.91</v>
      </c>
      <c r="Y24" s="2">
        <v>810.71</v>
      </c>
      <c r="Z24" s="2">
        <v>819.13</v>
      </c>
      <c r="AA24" s="2">
        <v>827.23</v>
      </c>
      <c r="AB24" s="2">
        <v>834.29</v>
      </c>
      <c r="AC24" s="2">
        <v>827.26</v>
      </c>
      <c r="AD24" s="2">
        <v>825.26</v>
      </c>
      <c r="AE24" s="2">
        <v>825.98</v>
      </c>
      <c r="AF24" s="2">
        <v>833.12</v>
      </c>
      <c r="AG24" s="2">
        <v>832.94</v>
      </c>
      <c r="AH24" s="2">
        <v>827.51</v>
      </c>
      <c r="AI24" s="2">
        <v>837.31</v>
      </c>
      <c r="AJ24" s="2">
        <v>843.24</v>
      </c>
      <c r="AK24" s="2">
        <v>842</v>
      </c>
      <c r="AL24" s="2">
        <v>844.66</v>
      </c>
      <c r="AM24" s="2">
        <v>840.28</v>
      </c>
      <c r="AN24" s="2">
        <v>841.78</v>
      </c>
      <c r="AO24" s="2">
        <v>839.87</v>
      </c>
      <c r="AP24" s="2">
        <v>842.08</v>
      </c>
      <c r="AQ24" s="2">
        <v>837.05</v>
      </c>
      <c r="AR24" s="2">
        <v>841.06</v>
      </c>
      <c r="AS24" s="2">
        <v>836.56</v>
      </c>
      <c r="AT24" s="2">
        <v>834.42</v>
      </c>
      <c r="AU24" s="2">
        <v>839.68</v>
      </c>
      <c r="AV24" s="2">
        <v>837.23</v>
      </c>
      <c r="AW24" s="2">
        <v>848.73</v>
      </c>
      <c r="AX24" s="2">
        <v>800.61</v>
      </c>
      <c r="AY24" s="2">
        <v>812.04</v>
      </c>
      <c r="AZ24" s="2">
        <v>811.4</v>
      </c>
      <c r="BA24" s="2">
        <v>836.5</v>
      </c>
      <c r="BB24" s="2">
        <v>838.05</v>
      </c>
      <c r="BC24" s="2">
        <v>845.82</v>
      </c>
      <c r="BD24" s="2">
        <v>838.81</v>
      </c>
      <c r="BE24" s="2">
        <v>838.68</v>
      </c>
      <c r="BF24" s="2">
        <v>847.52</v>
      </c>
      <c r="BG24" s="2">
        <v>847.54</v>
      </c>
      <c r="BH24" s="2">
        <v>846.43</v>
      </c>
      <c r="BI24" s="2">
        <v>850.99</v>
      </c>
      <c r="BJ24" s="2">
        <v>847.66</v>
      </c>
      <c r="BK24" s="2">
        <v>848.97</v>
      </c>
      <c r="BL24" s="2">
        <v>857.26</v>
      </c>
      <c r="BM24" s="2">
        <v>854.16</v>
      </c>
      <c r="BN24" s="2">
        <v>859.62</v>
      </c>
      <c r="BO24" s="2">
        <v>853.25</v>
      </c>
      <c r="BP24" s="2">
        <v>842.51</v>
      </c>
      <c r="BQ24" s="2">
        <v>857.74</v>
      </c>
      <c r="BR24" s="2">
        <v>827.89</v>
      </c>
      <c r="BS24" s="2">
        <v>824.27</v>
      </c>
      <c r="BT24" s="2">
        <v>832.19</v>
      </c>
      <c r="BU24" s="2">
        <v>819.86</v>
      </c>
      <c r="BV24" s="2">
        <v>839.24</v>
      </c>
      <c r="BW24" s="2">
        <v>834.76</v>
      </c>
      <c r="BX24" s="2">
        <v>822.33</v>
      </c>
      <c r="BY24" s="2">
        <v>821.1</v>
      </c>
      <c r="BZ24" s="2">
        <v>828.8</v>
      </c>
      <c r="CA24" s="2">
        <v>825.39</v>
      </c>
      <c r="CB24" s="2">
        <v>822.9</v>
      </c>
      <c r="CC24" s="2">
        <v>812.84</v>
      </c>
      <c r="CD24" s="2">
        <v>825.52</v>
      </c>
      <c r="CE24" s="2">
        <v>818.8</v>
      </c>
      <c r="CF24" s="2">
        <v>814</v>
      </c>
      <c r="CG24" s="2">
        <v>820.84</v>
      </c>
      <c r="CH24" s="2">
        <v>825.73</v>
      </c>
      <c r="CI24" s="2">
        <v>822.26</v>
      </c>
      <c r="CJ24" s="2">
        <v>826.69</v>
      </c>
      <c r="CK24" s="2">
        <v>828.33</v>
      </c>
      <c r="CL24" s="2">
        <v>818.66</v>
      </c>
      <c r="CM24" s="2">
        <v>821.93</v>
      </c>
      <c r="CN24" s="2">
        <v>823.35</v>
      </c>
      <c r="CO24" s="2">
        <v>825.87</v>
      </c>
      <c r="CP24" s="2">
        <v>826.67</v>
      </c>
      <c r="CQ24" s="2">
        <v>821.58</v>
      </c>
      <c r="CR24" s="2">
        <v>826.48</v>
      </c>
      <c r="CS24" s="2">
        <v>818.65</v>
      </c>
      <c r="CT24" s="2">
        <v>827.9</v>
      </c>
      <c r="CU24" s="2">
        <v>827.35</v>
      </c>
      <c r="CV24" s="2">
        <v>815.96</v>
      </c>
      <c r="CW24" s="2">
        <v>827.48</v>
      </c>
      <c r="CX24" s="2">
        <v>820.16</v>
      </c>
      <c r="CY24" s="2">
        <v>822.87</v>
      </c>
      <c r="CZ24" s="2">
        <v>822.5</v>
      </c>
      <c r="DA24" s="2">
        <v>822.66</v>
      </c>
      <c r="DB24" s="2">
        <v>825.09</v>
      </c>
      <c r="DC24" s="2">
        <v>825.02</v>
      </c>
      <c r="DD24" s="2">
        <v>828.15</v>
      </c>
      <c r="DE24" s="2">
        <v>824.64</v>
      </c>
      <c r="DF24" s="2">
        <v>826.16</v>
      </c>
      <c r="DG24" s="2">
        <v>820.51</v>
      </c>
      <c r="DH24" s="2">
        <v>820.39</v>
      </c>
      <c r="DI24" s="2">
        <v>824.07</v>
      </c>
      <c r="DJ24" s="2">
        <v>829.64</v>
      </c>
      <c r="DK24" s="2">
        <v>824.48</v>
      </c>
      <c r="DL24" s="2">
        <v>823.24</v>
      </c>
      <c r="DM24" s="2">
        <v>822.43</v>
      </c>
      <c r="DN24" s="2">
        <v>824.63</v>
      </c>
      <c r="DO24" s="2">
        <v>826.48</v>
      </c>
      <c r="DP24" s="2">
        <v>827.9</v>
      </c>
      <c r="DQ24" s="2">
        <v>830.21</v>
      </c>
      <c r="DR24" s="2">
        <v>832.06</v>
      </c>
      <c r="DS24" s="2">
        <v>834.15</v>
      </c>
      <c r="DT24" s="2">
        <v>825.94</v>
      </c>
      <c r="DU24" s="2">
        <v>828.49</v>
      </c>
      <c r="DV24" s="2">
        <v>824.04</v>
      </c>
      <c r="DW24" s="2">
        <v>828.51</v>
      </c>
      <c r="DX24" s="2">
        <v>816.46</v>
      </c>
      <c r="DY24" s="2">
        <v>819.36</v>
      </c>
      <c r="DZ24" s="2">
        <v>826.92</v>
      </c>
      <c r="EA24" s="2">
        <v>819.03</v>
      </c>
      <c r="EB24" s="2">
        <v>819.33</v>
      </c>
      <c r="EC24" s="2">
        <v>824.6</v>
      </c>
      <c r="ED24" s="2">
        <v>825.68</v>
      </c>
      <c r="EE24" s="2">
        <v>824.88</v>
      </c>
      <c r="EF24" s="2">
        <v>824.51</v>
      </c>
      <c r="EG24" s="2">
        <v>827.93</v>
      </c>
      <c r="EH24" s="2">
        <v>826.96</v>
      </c>
      <c r="EI24" s="2">
        <v>819.51</v>
      </c>
      <c r="EJ24" s="2">
        <v>820.17</v>
      </c>
      <c r="EK24" s="2">
        <v>818.98</v>
      </c>
      <c r="EL24" s="2">
        <v>813.62</v>
      </c>
      <c r="EM24" s="2">
        <v>813.76</v>
      </c>
      <c r="EN24" s="2">
        <v>818.38</v>
      </c>
      <c r="EO24" s="2">
        <v>811.19</v>
      </c>
      <c r="EP24" s="2">
        <v>815.38</v>
      </c>
      <c r="EQ24" s="2">
        <v>817.81</v>
      </c>
      <c r="ER24" s="2">
        <v>816.77</v>
      </c>
      <c r="ES24" s="2">
        <v>818.12</v>
      </c>
      <c r="ET24" s="2">
        <v>821.86</v>
      </c>
      <c r="EU24" s="2">
        <v>816.32</v>
      </c>
      <c r="EV24" s="2">
        <v>819.48</v>
      </c>
      <c r="EW24" s="2">
        <v>814.38</v>
      </c>
      <c r="EX24" s="2">
        <v>819.21</v>
      </c>
      <c r="EY24" s="2">
        <v>826.11</v>
      </c>
      <c r="EZ24" s="2">
        <v>821.84</v>
      </c>
      <c r="FA24" s="2">
        <v>825.14</v>
      </c>
      <c r="FB24" s="2">
        <v>830.51</v>
      </c>
      <c r="FC24" s="2">
        <v>826.55</v>
      </c>
      <c r="FD24" s="2">
        <v>829.32</v>
      </c>
      <c r="FE24" s="2">
        <v>827.93</v>
      </c>
      <c r="FF24" s="2">
        <v>820.34</v>
      </c>
      <c r="FG24" s="2">
        <v>814.63</v>
      </c>
      <c r="FH24" s="2">
        <v>816.16</v>
      </c>
      <c r="FI24" s="2">
        <v>818.07</v>
      </c>
      <c r="FJ24" s="2">
        <v>816.63</v>
      </c>
      <c r="FK24" s="2">
        <v>811.27</v>
      </c>
      <c r="FL24" s="2">
        <v>807.54</v>
      </c>
      <c r="FM24" s="2">
        <v>814.99</v>
      </c>
      <c r="FN24" s="2">
        <v>810.19</v>
      </c>
      <c r="FO24" s="2">
        <v>813.79</v>
      </c>
      <c r="FP24" s="2">
        <v>818.43</v>
      </c>
      <c r="FQ24" s="2">
        <v>805.32</v>
      </c>
      <c r="FR24" s="2">
        <v>814.09</v>
      </c>
      <c r="FS24" s="2">
        <v>816.86</v>
      </c>
      <c r="FT24" s="2">
        <v>816.26</v>
      </c>
      <c r="FU24" s="2">
        <v>814.83</v>
      </c>
      <c r="FV24" s="2">
        <v>812.79</v>
      </c>
      <c r="FW24" s="2">
        <v>813.66</v>
      </c>
      <c r="FX24" s="2">
        <v>816.12</v>
      </c>
      <c r="FY24" s="2">
        <v>817.56</v>
      </c>
      <c r="FZ24" s="2">
        <v>820.52</v>
      </c>
      <c r="GA24" s="2">
        <v>826.55</v>
      </c>
      <c r="GB24" s="2">
        <v>827.41</v>
      </c>
      <c r="GC24" s="2">
        <v>827.41</v>
      </c>
      <c r="GD24" s="2">
        <v>829.03</v>
      </c>
      <c r="GE24" s="2">
        <v>825.62</v>
      </c>
      <c r="GF24" s="2">
        <v>817.06</v>
      </c>
      <c r="GG24" s="2">
        <v>816.62</v>
      </c>
      <c r="GH24" s="2">
        <v>815.53</v>
      </c>
      <c r="GI24" s="2">
        <v>811.15</v>
      </c>
      <c r="GJ24" s="2">
        <v>819.44</v>
      </c>
      <c r="GK24" s="2">
        <v>814.67</v>
      </c>
      <c r="GL24" s="2">
        <v>818.38</v>
      </c>
      <c r="GM24" s="2">
        <v>820.76</v>
      </c>
      <c r="GN24" s="2">
        <v>827.44</v>
      </c>
      <c r="GO24" s="2">
        <v>830.35</v>
      </c>
      <c r="GP24" s="2">
        <v>831</v>
      </c>
      <c r="GQ24" s="2">
        <v>828.06</v>
      </c>
      <c r="GR24" s="2">
        <v>825.03</v>
      </c>
      <c r="GS24" s="2">
        <v>829.38</v>
      </c>
      <c r="GT24" s="2">
        <v>821.43</v>
      </c>
      <c r="GU24" s="2">
        <v>819.66</v>
      </c>
      <c r="GV24" s="2">
        <v>826.31</v>
      </c>
      <c r="GW24" s="2">
        <v>827</v>
      </c>
      <c r="GX24" s="2">
        <v>828.92</v>
      </c>
      <c r="GY24" s="2">
        <v>833.67</v>
      </c>
      <c r="GZ24" s="2">
        <v>838.82</v>
      </c>
      <c r="HA24" s="2">
        <v>840.91</v>
      </c>
      <c r="HB24" s="2">
        <v>841.5</v>
      </c>
      <c r="HC24" s="2">
        <v>843.04</v>
      </c>
      <c r="HD24" s="2">
        <v>847.88</v>
      </c>
      <c r="HE24" s="2">
        <v>847.8</v>
      </c>
      <c r="HF24" s="2">
        <v>849.84</v>
      </c>
      <c r="HG24" s="2">
        <v>848.27</v>
      </c>
      <c r="HH24" s="2">
        <v>849.89</v>
      </c>
      <c r="HI24" s="2">
        <v>854.96</v>
      </c>
      <c r="HJ24" s="2">
        <v>853.49</v>
      </c>
      <c r="HK24" s="2">
        <v>853.76</v>
      </c>
      <c r="HL24" s="2">
        <v>852.91</v>
      </c>
      <c r="HM24" s="2">
        <v>851.42</v>
      </c>
      <c r="HN24" s="2">
        <v>853.52</v>
      </c>
      <c r="HO24" s="2">
        <v>853.3</v>
      </c>
      <c r="HP24" s="2">
        <v>850.55</v>
      </c>
      <c r="HQ24" s="2">
        <v>857.02</v>
      </c>
      <c r="HR24" s="2">
        <v>866.45</v>
      </c>
      <c r="HS24" s="2">
        <v>851.89</v>
      </c>
      <c r="HT24" s="2">
        <v>840.79</v>
      </c>
      <c r="HU24" s="2">
        <v>832.38</v>
      </c>
      <c r="HV24" s="2">
        <v>831.02</v>
      </c>
      <c r="HW24" s="2">
        <v>826</v>
      </c>
      <c r="HX24" s="2">
        <v>831.37</v>
      </c>
      <c r="HY24" s="2">
        <v>837.19</v>
      </c>
      <c r="HZ24" s="2">
        <v>836.48</v>
      </c>
      <c r="IA24" s="2">
        <v>836.18</v>
      </c>
      <c r="IB24" s="2">
        <v>833.62</v>
      </c>
      <c r="IC24" s="2">
        <v>834.19</v>
      </c>
      <c r="ID24" s="2">
        <v>845.08</v>
      </c>
      <c r="IE24" s="2">
        <v>845.61</v>
      </c>
      <c r="IF24" s="2">
        <v>848.9</v>
      </c>
      <c r="IG24" s="2">
        <v>843.98</v>
      </c>
      <c r="IH24" s="2">
        <v>847.63</v>
      </c>
      <c r="II24" s="2">
        <v>853.88</v>
      </c>
      <c r="IJ24" s="2">
        <v>860.72</v>
      </c>
      <c r="IK24" s="2">
        <v>860.04</v>
      </c>
      <c r="IL24" s="2">
        <v>868.49</v>
      </c>
      <c r="IM24" s="2">
        <v>876.58</v>
      </c>
      <c r="IN24" s="2">
        <v>861.5</v>
      </c>
      <c r="IO24" s="2">
        <v>874.28</v>
      </c>
      <c r="IP24" s="2">
        <v>864.87</v>
      </c>
      <c r="IQ24" s="2">
        <v>867.12</v>
      </c>
      <c r="IR24" s="2">
        <v>862.52</v>
      </c>
    </row>
    <row r="25" spans="1:252" ht="23.25" customHeight="1" x14ac:dyDescent="0.3">
      <c r="A25" s="4" t="s">
        <v>298</v>
      </c>
      <c r="B25" s="4">
        <v>27</v>
      </c>
      <c r="C25" s="4" t="s">
        <v>318</v>
      </c>
      <c r="D25" s="3" t="s">
        <v>300</v>
      </c>
      <c r="E25" s="3" t="s">
        <v>301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</row>
    <row r="26" spans="1:252" ht="23.25" customHeight="1" x14ac:dyDescent="0.3">
      <c r="A26" s="4" t="s">
        <v>298</v>
      </c>
      <c r="B26" s="4">
        <v>30</v>
      </c>
      <c r="C26" s="4" t="s">
        <v>319</v>
      </c>
      <c r="D26" s="3" t="s">
        <v>300</v>
      </c>
      <c r="E26" s="3" t="s">
        <v>301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</row>
    <row r="27" spans="1:252" ht="23.25" customHeight="1" x14ac:dyDescent="0.3">
      <c r="A27" s="4" t="s">
        <v>298</v>
      </c>
      <c r="B27" s="4">
        <v>15</v>
      </c>
      <c r="C27" s="4" t="s">
        <v>320</v>
      </c>
      <c r="D27" s="3" t="s">
        <v>300</v>
      </c>
      <c r="E27" s="3" t="s">
        <v>301</v>
      </c>
      <c r="F27" s="2">
        <v>186.42</v>
      </c>
      <c r="G27" s="2">
        <v>188.53</v>
      </c>
      <c r="H27" s="2">
        <v>187.59</v>
      </c>
      <c r="I27" s="2">
        <v>186.21</v>
      </c>
      <c r="J27" s="2">
        <v>185.84</v>
      </c>
      <c r="K27" s="2">
        <v>185.78</v>
      </c>
      <c r="L27" s="2">
        <v>186.6</v>
      </c>
      <c r="M27" s="2">
        <v>186.54</v>
      </c>
      <c r="N27" s="2">
        <v>186.47</v>
      </c>
      <c r="O27" s="2">
        <v>186.25</v>
      </c>
      <c r="P27" s="2">
        <v>185.42</v>
      </c>
      <c r="Q27" s="2">
        <v>185.23</v>
      </c>
      <c r="R27" s="2">
        <v>185.72</v>
      </c>
      <c r="S27" s="2">
        <v>185.23</v>
      </c>
      <c r="T27" s="2">
        <v>185.09</v>
      </c>
      <c r="U27" s="2">
        <v>184.59</v>
      </c>
      <c r="V27" s="2">
        <v>183.84</v>
      </c>
      <c r="W27" s="2">
        <v>184.04</v>
      </c>
      <c r="X27" s="2">
        <v>184.19</v>
      </c>
      <c r="Y27" s="2">
        <v>185.1</v>
      </c>
      <c r="Z27" s="2">
        <v>187.55</v>
      </c>
      <c r="AA27" s="2">
        <v>187.79</v>
      </c>
      <c r="AB27" s="2">
        <v>187.35</v>
      </c>
      <c r="AC27" s="2">
        <v>185.49</v>
      </c>
      <c r="AD27" s="2">
        <v>186.11</v>
      </c>
      <c r="AE27" s="2">
        <v>186.85</v>
      </c>
      <c r="AF27" s="2">
        <v>187.62</v>
      </c>
      <c r="AG27" s="2">
        <v>186.89</v>
      </c>
      <c r="AH27" s="2">
        <v>186.82</v>
      </c>
      <c r="AI27" s="2">
        <v>187.17</v>
      </c>
      <c r="AJ27" s="2">
        <v>186.37</v>
      </c>
      <c r="AK27" s="2">
        <v>186.25</v>
      </c>
      <c r="AL27" s="2">
        <v>186.91</v>
      </c>
      <c r="AM27" s="2">
        <v>187.74</v>
      </c>
      <c r="AN27" s="2">
        <v>188.71</v>
      </c>
      <c r="AO27" s="2">
        <v>188.69</v>
      </c>
      <c r="AP27" s="2">
        <v>189.01</v>
      </c>
      <c r="AQ27" s="2">
        <v>188.45</v>
      </c>
      <c r="AR27" s="2">
        <v>188.63</v>
      </c>
      <c r="AS27" s="2">
        <v>188.53</v>
      </c>
      <c r="AT27" s="2">
        <v>189.03</v>
      </c>
      <c r="AU27" s="2">
        <v>189.13</v>
      </c>
      <c r="AV27" s="2">
        <v>188.57</v>
      </c>
      <c r="AW27" s="2">
        <v>188.61</v>
      </c>
      <c r="AX27" s="2">
        <v>185.14</v>
      </c>
      <c r="AY27" s="2">
        <v>188.69</v>
      </c>
      <c r="AZ27" s="2">
        <v>189.2</v>
      </c>
      <c r="BA27" s="2">
        <v>191.06</v>
      </c>
      <c r="BB27" s="2">
        <v>187.98</v>
      </c>
      <c r="BC27" s="2">
        <v>187.07</v>
      </c>
      <c r="BD27" s="2">
        <v>184.06</v>
      </c>
      <c r="BE27" s="2">
        <v>183.48</v>
      </c>
      <c r="BF27" s="2">
        <v>183.89</v>
      </c>
      <c r="BG27" s="2">
        <v>182.9</v>
      </c>
      <c r="BH27" s="2">
        <v>183.15</v>
      </c>
      <c r="BI27" s="2">
        <v>182.87</v>
      </c>
      <c r="BJ27" s="2">
        <v>183.37</v>
      </c>
      <c r="BK27" s="2">
        <v>183.85</v>
      </c>
      <c r="BL27" s="2">
        <v>184.34</v>
      </c>
      <c r="BM27" s="2">
        <v>184.94</v>
      </c>
      <c r="BN27" s="2">
        <v>185.56</v>
      </c>
      <c r="BO27" s="2">
        <v>185.4</v>
      </c>
      <c r="BP27" s="2">
        <v>183.95</v>
      </c>
      <c r="BQ27" s="2">
        <v>184.06</v>
      </c>
      <c r="BR27" s="2">
        <v>179.67</v>
      </c>
      <c r="BS27" s="2">
        <v>179.57</v>
      </c>
      <c r="BT27" s="2">
        <v>180.73</v>
      </c>
      <c r="BU27" s="2">
        <v>179.74</v>
      </c>
      <c r="BV27" s="2">
        <v>181.32</v>
      </c>
      <c r="BW27" s="2">
        <v>181.39</v>
      </c>
      <c r="BX27" s="2">
        <v>179.31</v>
      </c>
      <c r="BY27" s="2">
        <v>178.43</v>
      </c>
      <c r="BZ27" s="2">
        <v>178.76</v>
      </c>
      <c r="CA27" s="2">
        <v>177.91</v>
      </c>
      <c r="CB27" s="2">
        <v>177.16</v>
      </c>
      <c r="CC27" s="2">
        <v>176.1</v>
      </c>
      <c r="CD27" s="2">
        <v>175.81</v>
      </c>
      <c r="CE27" s="2">
        <v>174.19</v>
      </c>
      <c r="CF27" s="2">
        <v>174.57</v>
      </c>
      <c r="CG27" s="2">
        <v>175.42</v>
      </c>
      <c r="CH27" s="2">
        <v>176.18</v>
      </c>
      <c r="CI27" s="2">
        <v>175.44</v>
      </c>
      <c r="CJ27" s="2">
        <v>175.51</v>
      </c>
      <c r="CK27" s="2">
        <v>175.14</v>
      </c>
      <c r="CL27" s="2">
        <v>173.19</v>
      </c>
      <c r="CM27" s="2">
        <v>173.16</v>
      </c>
      <c r="CN27" s="2">
        <v>173.28</v>
      </c>
      <c r="CO27" s="2">
        <v>174.4</v>
      </c>
      <c r="CP27" s="2">
        <v>173.64</v>
      </c>
      <c r="CQ27" s="2">
        <v>174.13</v>
      </c>
      <c r="CR27" s="2">
        <v>173.71</v>
      </c>
      <c r="CS27" s="2">
        <v>173.47</v>
      </c>
      <c r="CT27" s="2">
        <v>174.94</v>
      </c>
      <c r="CU27" s="2">
        <v>175.75</v>
      </c>
      <c r="CV27" s="2">
        <v>174.46</v>
      </c>
      <c r="CW27" s="2">
        <v>176.05</v>
      </c>
      <c r="CX27" s="2">
        <v>173.89</v>
      </c>
      <c r="CY27" s="2">
        <v>173.38</v>
      </c>
      <c r="CZ27" s="2">
        <v>172.96</v>
      </c>
      <c r="DA27" s="2">
        <v>172.8</v>
      </c>
      <c r="DB27" s="2">
        <v>172.44</v>
      </c>
      <c r="DC27" s="2">
        <v>172.34</v>
      </c>
      <c r="DD27" s="2">
        <v>173.18</v>
      </c>
      <c r="DE27" s="2">
        <v>173.07</v>
      </c>
      <c r="DF27" s="2">
        <v>173.79</v>
      </c>
      <c r="DG27" s="2">
        <v>174.09</v>
      </c>
      <c r="DH27" s="2">
        <v>174.27</v>
      </c>
      <c r="DI27" s="2">
        <v>175.01</v>
      </c>
      <c r="DJ27" s="2">
        <v>174.91</v>
      </c>
      <c r="DK27" s="2">
        <v>175.12</v>
      </c>
      <c r="DL27" s="2">
        <v>175.61</v>
      </c>
      <c r="DM27" s="2">
        <v>176.15</v>
      </c>
      <c r="DN27" s="2">
        <v>176.71</v>
      </c>
      <c r="DO27" s="2">
        <v>177.21</v>
      </c>
      <c r="DP27" s="2">
        <v>177.35</v>
      </c>
      <c r="DQ27" s="2">
        <v>177.22</v>
      </c>
      <c r="DR27" s="2">
        <v>176.6</v>
      </c>
      <c r="DS27" s="2">
        <v>175.69</v>
      </c>
      <c r="DT27" s="2">
        <v>174.36</v>
      </c>
      <c r="DU27" s="2">
        <v>175.3</v>
      </c>
      <c r="DV27" s="2">
        <v>175.76</v>
      </c>
      <c r="DW27" s="2">
        <v>177.25</v>
      </c>
      <c r="DX27" s="2">
        <v>176.18</v>
      </c>
      <c r="DY27" s="2">
        <v>177.13</v>
      </c>
      <c r="DZ27" s="2">
        <v>178.26</v>
      </c>
      <c r="EA27" s="2">
        <v>176.43</v>
      </c>
      <c r="EB27" s="2">
        <v>176.66</v>
      </c>
      <c r="EC27" s="2">
        <v>177.02</v>
      </c>
      <c r="ED27" s="2">
        <v>176.34</v>
      </c>
      <c r="EE27" s="2">
        <v>176.57</v>
      </c>
      <c r="EF27" s="2">
        <v>176.86</v>
      </c>
      <c r="EG27" s="2">
        <v>177.12</v>
      </c>
      <c r="EH27" s="2">
        <v>176.3</v>
      </c>
      <c r="EI27" s="2">
        <v>176.6</v>
      </c>
      <c r="EJ27" s="2">
        <v>177.16</v>
      </c>
      <c r="EK27" s="2">
        <v>178.16</v>
      </c>
      <c r="EL27" s="2">
        <v>178.89</v>
      </c>
      <c r="EM27" s="2">
        <v>178.92</v>
      </c>
      <c r="EN27" s="2">
        <v>178.56</v>
      </c>
      <c r="EO27" s="2">
        <v>177.46</v>
      </c>
      <c r="EP27" s="2">
        <v>178.5</v>
      </c>
      <c r="EQ27" s="2">
        <v>179.25</v>
      </c>
      <c r="ER27" s="2">
        <v>178.18</v>
      </c>
      <c r="ES27" s="2">
        <v>178.02</v>
      </c>
      <c r="ET27" s="2">
        <v>178.59</v>
      </c>
      <c r="EU27" s="2">
        <v>178.31</v>
      </c>
      <c r="EV27" s="2">
        <v>178.67</v>
      </c>
      <c r="EW27" s="2">
        <v>178.53</v>
      </c>
      <c r="EX27" s="2">
        <v>178.48</v>
      </c>
      <c r="EY27" s="2">
        <v>178.41</v>
      </c>
      <c r="EZ27" s="2">
        <v>178.04</v>
      </c>
      <c r="FA27" s="2">
        <v>178.13</v>
      </c>
      <c r="FB27" s="2">
        <v>178.39</v>
      </c>
      <c r="FC27" s="2">
        <v>178.49</v>
      </c>
      <c r="FD27" s="2">
        <v>178.6</v>
      </c>
      <c r="FE27" s="2">
        <v>177.67</v>
      </c>
      <c r="FF27" s="2">
        <v>177.43</v>
      </c>
      <c r="FG27" s="2">
        <v>178.03</v>
      </c>
      <c r="FH27" s="2">
        <v>179.25</v>
      </c>
      <c r="FI27" s="2">
        <v>179.41</v>
      </c>
      <c r="FJ27" s="2">
        <v>179.26</v>
      </c>
      <c r="FK27" s="2">
        <v>179.32</v>
      </c>
      <c r="FL27" s="2">
        <v>179.95</v>
      </c>
      <c r="FM27" s="2">
        <v>181.44</v>
      </c>
      <c r="FN27" s="2">
        <v>180.15</v>
      </c>
      <c r="FO27" s="2">
        <v>180.3</v>
      </c>
      <c r="FP27" s="2">
        <v>180.69</v>
      </c>
      <c r="FQ27" s="2">
        <v>180.15</v>
      </c>
      <c r="FR27" s="2">
        <v>182.53</v>
      </c>
      <c r="FS27" s="2">
        <v>183.52</v>
      </c>
      <c r="FT27" s="2">
        <v>183.74</v>
      </c>
      <c r="FU27" s="2">
        <v>183.2</v>
      </c>
      <c r="FV27" s="2">
        <v>182.62</v>
      </c>
      <c r="FW27" s="2">
        <v>182.75</v>
      </c>
      <c r="FX27" s="2">
        <v>182.81</v>
      </c>
      <c r="FY27" s="2">
        <v>183.19</v>
      </c>
      <c r="FZ27" s="2">
        <v>184.02</v>
      </c>
      <c r="GA27" s="2">
        <v>184.85</v>
      </c>
      <c r="GB27" s="2">
        <v>184.84</v>
      </c>
      <c r="GC27" s="2">
        <v>184.41</v>
      </c>
      <c r="GD27" s="2">
        <v>184.62</v>
      </c>
      <c r="GE27" s="2">
        <v>184.41</v>
      </c>
      <c r="GF27" s="2">
        <v>183.17</v>
      </c>
      <c r="GG27" s="2">
        <v>183.68</v>
      </c>
      <c r="GH27" s="2">
        <v>183.86</v>
      </c>
      <c r="GI27" s="2">
        <v>184.94</v>
      </c>
      <c r="GJ27" s="2">
        <v>186.12</v>
      </c>
      <c r="GK27" s="2">
        <v>185.91</v>
      </c>
      <c r="GL27" s="2">
        <v>186.96</v>
      </c>
      <c r="GM27" s="2">
        <v>187</v>
      </c>
      <c r="GN27" s="2">
        <v>188.27</v>
      </c>
      <c r="GO27" s="2">
        <v>188.7</v>
      </c>
      <c r="GP27" s="2">
        <v>189.11</v>
      </c>
      <c r="GQ27" s="2">
        <v>187.65</v>
      </c>
      <c r="GR27" s="2">
        <v>187.58</v>
      </c>
      <c r="GS27" s="2">
        <v>188.22</v>
      </c>
      <c r="GT27" s="2">
        <v>188.08</v>
      </c>
      <c r="GU27" s="2">
        <v>188.64</v>
      </c>
      <c r="GV27" s="2">
        <v>189.12</v>
      </c>
      <c r="GW27" s="2">
        <v>189.35</v>
      </c>
      <c r="GX27" s="2">
        <v>189.49</v>
      </c>
      <c r="GY27" s="2">
        <v>188.06</v>
      </c>
      <c r="GZ27" s="2">
        <v>188.31</v>
      </c>
      <c r="HA27" s="2">
        <v>188.29</v>
      </c>
      <c r="HB27" s="2">
        <v>188.63</v>
      </c>
      <c r="HC27" s="2">
        <v>188.8</v>
      </c>
      <c r="HD27" s="2">
        <v>188.69</v>
      </c>
      <c r="HE27" s="2">
        <v>189.07</v>
      </c>
      <c r="HF27" s="2">
        <v>189.1</v>
      </c>
      <c r="HG27" s="2">
        <v>188.8</v>
      </c>
      <c r="HH27" s="2">
        <v>188.94</v>
      </c>
      <c r="HI27" s="2">
        <v>189</v>
      </c>
      <c r="HJ27" s="2">
        <v>188.84</v>
      </c>
      <c r="HK27" s="2">
        <v>189.17</v>
      </c>
      <c r="HL27" s="2">
        <v>189.42</v>
      </c>
      <c r="HM27" s="2">
        <v>189.27</v>
      </c>
      <c r="HN27" s="2">
        <v>190.05</v>
      </c>
      <c r="HO27" s="2">
        <v>189.84</v>
      </c>
      <c r="HP27" s="2">
        <v>189.91</v>
      </c>
      <c r="HQ27" s="2">
        <v>190.08</v>
      </c>
      <c r="HR27" s="2">
        <v>190.73</v>
      </c>
      <c r="HS27" s="2">
        <v>187.84</v>
      </c>
      <c r="HT27" s="2">
        <v>185.6</v>
      </c>
      <c r="HU27" s="2">
        <v>184.46</v>
      </c>
      <c r="HV27" s="2">
        <v>184.41</v>
      </c>
      <c r="HW27" s="2">
        <v>184.31</v>
      </c>
      <c r="HX27" s="2">
        <v>185.09</v>
      </c>
      <c r="HY27" s="2">
        <v>185.84</v>
      </c>
      <c r="HZ27" s="2">
        <v>185.64</v>
      </c>
      <c r="IA27" s="2">
        <v>185.99</v>
      </c>
      <c r="IB27" s="2">
        <v>186.02</v>
      </c>
      <c r="IC27" s="2">
        <v>186.74</v>
      </c>
      <c r="ID27" s="2">
        <v>187.81</v>
      </c>
      <c r="IE27" s="2">
        <v>188.81</v>
      </c>
      <c r="IF27" s="2">
        <v>189.49</v>
      </c>
      <c r="IG27" s="2">
        <v>188.48</v>
      </c>
      <c r="IH27" s="2">
        <v>188.96</v>
      </c>
      <c r="II27" s="2">
        <v>189</v>
      </c>
      <c r="IJ27" s="2">
        <v>189.38</v>
      </c>
      <c r="IK27" s="2">
        <v>188.89</v>
      </c>
      <c r="IL27" s="2">
        <v>188.34</v>
      </c>
      <c r="IM27" s="2">
        <v>188.19</v>
      </c>
      <c r="IN27" s="2">
        <v>185.04</v>
      </c>
      <c r="IO27" s="2">
        <v>185.76</v>
      </c>
      <c r="IP27" s="2">
        <v>183.11</v>
      </c>
      <c r="IQ27" s="2">
        <v>182.81</v>
      </c>
      <c r="IR27" s="2">
        <v>183.9</v>
      </c>
    </row>
    <row r="28" spans="1:252" ht="23.25" customHeight="1" x14ac:dyDescent="0.3">
      <c r="A28" s="4" t="s">
        <v>298</v>
      </c>
      <c r="B28" s="4">
        <v>31</v>
      </c>
      <c r="C28" s="4" t="s">
        <v>321</v>
      </c>
      <c r="D28" s="3" t="s">
        <v>300</v>
      </c>
      <c r="E28" s="3" t="s">
        <v>301</v>
      </c>
      <c r="F28" s="2">
        <v>44.01</v>
      </c>
      <c r="G28" s="2">
        <v>44.52</v>
      </c>
      <c r="H28" s="2">
        <v>44.4</v>
      </c>
      <c r="I28" s="2">
        <v>44.16</v>
      </c>
      <c r="J28" s="2">
        <v>44.1</v>
      </c>
      <c r="K28" s="2">
        <v>44.1</v>
      </c>
      <c r="L28" s="2">
        <v>44.2</v>
      </c>
      <c r="M28" s="2">
        <v>44.28</v>
      </c>
      <c r="N28" s="2">
        <v>44.19</v>
      </c>
      <c r="O28" s="2">
        <v>44.45</v>
      </c>
      <c r="P28" s="2">
        <v>44.16</v>
      </c>
      <c r="Q28" s="2">
        <v>44.04</v>
      </c>
      <c r="R28" s="2">
        <v>44.1</v>
      </c>
      <c r="S28" s="2">
        <v>43.96</v>
      </c>
      <c r="T28" s="2">
        <v>44.01</v>
      </c>
      <c r="U28" s="2">
        <v>43.78</v>
      </c>
      <c r="V28" s="2">
        <v>43.68</v>
      </c>
      <c r="W28" s="2">
        <v>43.6</v>
      </c>
      <c r="X28" s="2">
        <v>43.69</v>
      </c>
      <c r="Y28" s="2">
        <v>43.74</v>
      </c>
      <c r="Z28" s="2">
        <v>44.33</v>
      </c>
      <c r="AA28" s="2">
        <v>44.49</v>
      </c>
      <c r="AB28" s="2">
        <v>44.35</v>
      </c>
      <c r="AC28" s="2">
        <v>43.84</v>
      </c>
      <c r="AD28" s="2">
        <v>44.04</v>
      </c>
      <c r="AE28" s="2">
        <v>44.14</v>
      </c>
      <c r="AF28" s="2">
        <v>44.34</v>
      </c>
      <c r="AG28" s="2">
        <v>44.11</v>
      </c>
      <c r="AH28" s="2">
        <v>44.02</v>
      </c>
      <c r="AI28" s="2">
        <v>44.16</v>
      </c>
      <c r="AJ28" s="2">
        <v>43.93</v>
      </c>
      <c r="AK28" s="2">
        <v>43.85</v>
      </c>
      <c r="AL28" s="2">
        <v>43.98</v>
      </c>
      <c r="AM28" s="2">
        <v>44.22</v>
      </c>
      <c r="AN28" s="2">
        <v>44.45</v>
      </c>
      <c r="AO28" s="2">
        <v>44.41</v>
      </c>
      <c r="AP28" s="2">
        <v>44.45</v>
      </c>
      <c r="AQ28" s="2">
        <v>44.26</v>
      </c>
      <c r="AR28" s="2">
        <v>44.28</v>
      </c>
      <c r="AS28" s="2">
        <v>44.17</v>
      </c>
      <c r="AT28" s="2">
        <v>44.22</v>
      </c>
      <c r="AU28" s="2">
        <v>44.31</v>
      </c>
      <c r="AV28" s="2">
        <v>44.14</v>
      </c>
      <c r="AW28" s="2">
        <v>44.39</v>
      </c>
      <c r="AX28" s="2">
        <v>43.4</v>
      </c>
      <c r="AY28" s="2">
        <v>44.43</v>
      </c>
      <c r="AZ28" s="2">
        <v>44.37</v>
      </c>
      <c r="BA28" s="2">
        <v>45.48</v>
      </c>
      <c r="BB28" s="2">
        <v>44.47</v>
      </c>
      <c r="BC28" s="2">
        <v>44.81</v>
      </c>
      <c r="BD28" s="2">
        <v>44.09</v>
      </c>
      <c r="BE28" s="2">
        <v>43.77</v>
      </c>
      <c r="BF28" s="2">
        <v>44.08</v>
      </c>
      <c r="BG28" s="2">
        <v>43.66</v>
      </c>
      <c r="BH28" s="2">
        <v>43.64</v>
      </c>
      <c r="BI28" s="2">
        <v>43.72</v>
      </c>
      <c r="BJ28" s="2">
        <v>43.65</v>
      </c>
      <c r="BK28" s="2">
        <v>43.83</v>
      </c>
      <c r="BL28" s="2">
        <v>44.08</v>
      </c>
      <c r="BM28" s="2">
        <v>44.1</v>
      </c>
      <c r="BN28" s="2">
        <v>44.37</v>
      </c>
      <c r="BO28" s="2">
        <v>44.48</v>
      </c>
      <c r="BP28" s="2">
        <v>44.42</v>
      </c>
      <c r="BQ28" s="2">
        <v>47.56</v>
      </c>
      <c r="BR28" s="2">
        <v>45.85</v>
      </c>
      <c r="BS28" s="2">
        <v>46.1</v>
      </c>
      <c r="BT28" s="2">
        <v>46.55</v>
      </c>
      <c r="BU28" s="2">
        <v>46.05</v>
      </c>
      <c r="BV28" s="2">
        <v>46.44</v>
      </c>
      <c r="BW28" s="2">
        <v>46.64</v>
      </c>
      <c r="BX28" s="2">
        <v>46.37</v>
      </c>
      <c r="BY28" s="2">
        <v>46.14</v>
      </c>
      <c r="BZ28" s="2">
        <v>46.35</v>
      </c>
      <c r="CA28" s="2">
        <v>46.18</v>
      </c>
      <c r="CB28" s="2">
        <v>46.18</v>
      </c>
      <c r="CC28" s="2">
        <v>45.85</v>
      </c>
      <c r="CD28" s="2">
        <v>45.92</v>
      </c>
      <c r="CE28" s="2">
        <v>45.61</v>
      </c>
      <c r="CF28" s="2">
        <v>45.64</v>
      </c>
      <c r="CG28" s="2">
        <v>45.96</v>
      </c>
      <c r="CH28" s="2">
        <v>46.3</v>
      </c>
      <c r="CI28" s="2">
        <v>46.03</v>
      </c>
      <c r="CJ28" s="2">
        <v>45.92</v>
      </c>
      <c r="CK28" s="2">
        <v>45.86</v>
      </c>
      <c r="CL28" s="2">
        <v>45.4</v>
      </c>
      <c r="CM28" s="2">
        <v>45.4</v>
      </c>
      <c r="CN28" s="2">
        <v>45.47</v>
      </c>
      <c r="CO28" s="2">
        <v>45.9</v>
      </c>
      <c r="CP28" s="2">
        <v>46.13</v>
      </c>
      <c r="CQ28" s="2">
        <v>46.25</v>
      </c>
      <c r="CR28" s="2">
        <v>46.35</v>
      </c>
      <c r="CS28" s="2">
        <v>45.91</v>
      </c>
      <c r="CT28" s="2">
        <v>46.46</v>
      </c>
      <c r="CU28" s="2">
        <v>46.63</v>
      </c>
      <c r="CV28" s="2">
        <v>46.34</v>
      </c>
      <c r="CW28" s="2">
        <v>46.53</v>
      </c>
      <c r="CX28" s="2">
        <v>46.31</v>
      </c>
      <c r="CY28" s="2">
        <v>46.34</v>
      </c>
      <c r="CZ28" s="2">
        <v>46.52</v>
      </c>
      <c r="DA28" s="2">
        <v>46.6</v>
      </c>
      <c r="DB28" s="2">
        <v>46.33</v>
      </c>
      <c r="DC28" s="2">
        <v>46.26</v>
      </c>
      <c r="DD28" s="2">
        <v>46.9</v>
      </c>
      <c r="DE28" s="2">
        <v>46.94</v>
      </c>
      <c r="DF28" s="2">
        <v>47.18</v>
      </c>
      <c r="DG28" s="2">
        <v>46.99</v>
      </c>
      <c r="DH28" s="2">
        <v>46.97</v>
      </c>
      <c r="DI28" s="2">
        <v>47.01</v>
      </c>
      <c r="DJ28" s="2">
        <v>46.93</v>
      </c>
      <c r="DK28" s="2">
        <v>47.03</v>
      </c>
      <c r="DL28" s="2">
        <v>46.97</v>
      </c>
      <c r="DM28" s="2">
        <v>47.03</v>
      </c>
      <c r="DN28" s="2">
        <v>47.17</v>
      </c>
      <c r="DO28" s="2">
        <v>47.27</v>
      </c>
      <c r="DP28" s="2">
        <v>47.35</v>
      </c>
      <c r="DQ28" s="2">
        <v>47.39</v>
      </c>
      <c r="DR28" s="2">
        <v>47.13</v>
      </c>
      <c r="DS28" s="2">
        <v>47.15</v>
      </c>
      <c r="DT28" s="2">
        <v>46.54</v>
      </c>
      <c r="DU28" s="2">
        <v>46.66</v>
      </c>
      <c r="DV28" s="2">
        <v>46.5</v>
      </c>
      <c r="DW28" s="2">
        <v>46.83</v>
      </c>
      <c r="DX28" s="2">
        <v>46.34</v>
      </c>
      <c r="DY28" s="2">
        <v>46.48</v>
      </c>
      <c r="DZ28" s="2">
        <v>46.91</v>
      </c>
      <c r="EA28" s="2">
        <v>46.32</v>
      </c>
      <c r="EB28" s="2">
        <v>46.3</v>
      </c>
      <c r="EC28" s="2">
        <v>46.45</v>
      </c>
      <c r="ED28" s="2">
        <v>46.43</v>
      </c>
      <c r="EE28" s="2">
        <v>46.41</v>
      </c>
      <c r="EF28" s="2">
        <v>46.33</v>
      </c>
      <c r="EG28" s="2">
        <v>46.5</v>
      </c>
      <c r="EH28" s="2">
        <v>46.19</v>
      </c>
      <c r="EI28" s="2">
        <v>46.07</v>
      </c>
      <c r="EJ28" s="2">
        <v>46.13</v>
      </c>
      <c r="EK28" s="2">
        <v>46.12</v>
      </c>
      <c r="EL28" s="2">
        <v>46.13</v>
      </c>
      <c r="EM28" s="2">
        <v>45.79</v>
      </c>
      <c r="EN28" s="2">
        <v>45.94</v>
      </c>
      <c r="EO28" s="2">
        <v>45.51</v>
      </c>
      <c r="EP28" s="2">
        <v>45.52</v>
      </c>
      <c r="EQ28" s="2">
        <v>45.63</v>
      </c>
      <c r="ER28" s="2">
        <v>45.52</v>
      </c>
      <c r="ES28" s="2">
        <v>45.39</v>
      </c>
      <c r="ET28" s="2">
        <v>45.46</v>
      </c>
      <c r="EU28" s="2">
        <v>45.26</v>
      </c>
      <c r="EV28" s="2">
        <v>45.35</v>
      </c>
      <c r="EW28" s="2">
        <v>45.35</v>
      </c>
      <c r="EX28" s="2">
        <v>45.64</v>
      </c>
      <c r="EY28" s="2">
        <v>45.81</v>
      </c>
      <c r="EZ28" s="2">
        <v>45.66</v>
      </c>
      <c r="FA28" s="2">
        <v>45.87</v>
      </c>
      <c r="FB28" s="2">
        <v>45.85</v>
      </c>
      <c r="FC28" s="2">
        <v>45.83</v>
      </c>
      <c r="FD28" s="2">
        <v>46</v>
      </c>
      <c r="FE28" s="2">
        <v>45.98</v>
      </c>
      <c r="FF28" s="2">
        <v>45.85</v>
      </c>
      <c r="FG28" s="2">
        <v>45.97</v>
      </c>
      <c r="FH28" s="2">
        <v>46.1</v>
      </c>
      <c r="FI28" s="2">
        <v>46.11</v>
      </c>
      <c r="FJ28" s="2">
        <v>46.02</v>
      </c>
      <c r="FK28" s="2">
        <v>45.92</v>
      </c>
      <c r="FL28" s="2">
        <v>45.81</v>
      </c>
      <c r="FM28" s="2">
        <v>46.34</v>
      </c>
      <c r="FN28" s="2">
        <v>46.01</v>
      </c>
      <c r="FO28" s="2">
        <v>46.07</v>
      </c>
      <c r="FP28" s="2">
        <v>46.16</v>
      </c>
      <c r="FQ28" s="2">
        <v>45.82</v>
      </c>
      <c r="FR28" s="2">
        <v>46.3</v>
      </c>
      <c r="FS28" s="2">
        <v>46.49</v>
      </c>
      <c r="FT28" s="2">
        <v>46.53</v>
      </c>
      <c r="FU28" s="2">
        <v>46.51</v>
      </c>
      <c r="FV28" s="2">
        <v>46.33</v>
      </c>
      <c r="FW28" s="2">
        <v>46.33</v>
      </c>
      <c r="FX28" s="2">
        <v>46.4</v>
      </c>
      <c r="FY28" s="2">
        <v>46.38</v>
      </c>
      <c r="FZ28" s="2">
        <v>46.49</v>
      </c>
      <c r="GA28" s="2">
        <v>46.66</v>
      </c>
      <c r="GB28" s="2">
        <v>46.55</v>
      </c>
      <c r="GC28" s="2">
        <v>46.79</v>
      </c>
      <c r="GD28" s="2">
        <v>46.94</v>
      </c>
      <c r="GE28" s="2">
        <v>46.7</v>
      </c>
      <c r="GF28" s="2">
        <v>46.29</v>
      </c>
      <c r="GG28" s="2">
        <v>46.36</v>
      </c>
      <c r="GH28" s="2">
        <v>46.2</v>
      </c>
      <c r="GI28" s="2">
        <v>46.48</v>
      </c>
      <c r="GJ28" s="2">
        <v>46.8</v>
      </c>
      <c r="GK28" s="2">
        <v>46.64</v>
      </c>
      <c r="GL28" s="2">
        <v>46.92</v>
      </c>
      <c r="GM28" s="2">
        <v>46.91</v>
      </c>
      <c r="GN28" s="2">
        <v>47.21</v>
      </c>
      <c r="GO28" s="2">
        <v>47.18</v>
      </c>
      <c r="GP28" s="2">
        <v>47.2</v>
      </c>
      <c r="GQ28" s="2">
        <v>47.6</v>
      </c>
      <c r="GR28" s="2">
        <v>46.76</v>
      </c>
      <c r="GS28" s="2">
        <v>47.09</v>
      </c>
      <c r="GT28" s="2">
        <v>46.95</v>
      </c>
      <c r="GU28" s="2">
        <v>46.81</v>
      </c>
      <c r="GV28" s="2">
        <v>46.95</v>
      </c>
      <c r="GW28" s="2">
        <v>46.86</v>
      </c>
      <c r="GX28" s="2">
        <v>46.92</v>
      </c>
      <c r="GY28" s="2">
        <v>46.79</v>
      </c>
      <c r="GZ28" s="2">
        <v>46.75</v>
      </c>
      <c r="HA28" s="2">
        <v>46.7</v>
      </c>
      <c r="HB28" s="2">
        <v>46.77</v>
      </c>
      <c r="HC28" s="2">
        <v>46.78</v>
      </c>
      <c r="HD28" s="2">
        <v>46.88</v>
      </c>
      <c r="HE28" s="2">
        <v>46.89</v>
      </c>
      <c r="HF28" s="2">
        <v>47.05</v>
      </c>
      <c r="HG28" s="2">
        <v>47.13</v>
      </c>
      <c r="HH28" s="2">
        <v>47.18</v>
      </c>
      <c r="HI28" s="2">
        <v>47.3</v>
      </c>
      <c r="HJ28" s="2">
        <v>47.08</v>
      </c>
      <c r="HK28" s="2">
        <v>46.96</v>
      </c>
      <c r="HL28" s="2">
        <v>47.03</v>
      </c>
      <c r="HM28" s="2">
        <v>46.77</v>
      </c>
      <c r="HN28" s="2">
        <v>46.71</v>
      </c>
      <c r="HO28" s="2">
        <v>46.85</v>
      </c>
      <c r="HP28" s="2">
        <v>46.89</v>
      </c>
      <c r="HQ28" s="2">
        <v>46.88</v>
      </c>
      <c r="HR28" s="2">
        <v>47.09</v>
      </c>
      <c r="HS28" s="2">
        <v>46.45</v>
      </c>
      <c r="HT28" s="2">
        <v>45.94</v>
      </c>
      <c r="HU28" s="2">
        <v>45.77</v>
      </c>
      <c r="HV28" s="2">
        <v>45.91</v>
      </c>
      <c r="HW28" s="2">
        <v>45.81</v>
      </c>
      <c r="HX28" s="2">
        <v>45.96</v>
      </c>
      <c r="HY28" s="2">
        <v>45.94</v>
      </c>
      <c r="HZ28" s="2">
        <v>45.88</v>
      </c>
      <c r="IA28" s="2">
        <v>46.03</v>
      </c>
      <c r="IB28" s="2">
        <v>45.93</v>
      </c>
      <c r="IC28" s="2">
        <v>46.05</v>
      </c>
      <c r="ID28" s="2">
        <v>46.36</v>
      </c>
      <c r="IE28" s="2">
        <v>46.56</v>
      </c>
      <c r="IF28" s="2">
        <v>46.87</v>
      </c>
      <c r="IG28" s="2">
        <v>46.54</v>
      </c>
      <c r="IH28" s="2">
        <v>46.6</v>
      </c>
      <c r="II28" s="2">
        <v>46.69</v>
      </c>
      <c r="IJ28" s="2">
        <v>46.52</v>
      </c>
      <c r="IK28" s="2">
        <v>46.53</v>
      </c>
      <c r="IL28" s="2">
        <v>46.46</v>
      </c>
      <c r="IM28" s="2">
        <v>46.76</v>
      </c>
      <c r="IN28" s="2">
        <v>45.87</v>
      </c>
      <c r="IO28" s="2">
        <v>46.49</v>
      </c>
      <c r="IP28" s="2">
        <v>45.65</v>
      </c>
      <c r="IQ28" s="2">
        <v>45.5</v>
      </c>
      <c r="IR28" s="2">
        <v>45.43</v>
      </c>
    </row>
    <row r="29" spans="1:252" ht="23.25" customHeight="1" x14ac:dyDescent="0.3">
      <c r="A29" s="4" t="s">
        <v>298</v>
      </c>
      <c r="B29" s="4">
        <v>32</v>
      </c>
      <c r="C29" s="4" t="s">
        <v>322</v>
      </c>
      <c r="D29" s="3" t="s">
        <v>300</v>
      </c>
      <c r="E29" s="3" t="s">
        <v>301</v>
      </c>
      <c r="F29" s="2">
        <v>0.42</v>
      </c>
      <c r="G29" s="2">
        <v>0.43</v>
      </c>
      <c r="H29" s="2">
        <v>0.42</v>
      </c>
      <c r="I29" s="2">
        <v>0.42</v>
      </c>
      <c r="J29" s="2">
        <v>0.42</v>
      </c>
      <c r="K29" s="2">
        <v>0.42</v>
      </c>
      <c r="L29" s="2">
        <v>0.42</v>
      </c>
      <c r="M29" s="2">
        <v>0.42</v>
      </c>
      <c r="N29" s="2">
        <v>0.42</v>
      </c>
      <c r="O29" s="2">
        <v>0.42</v>
      </c>
      <c r="P29" s="2">
        <v>0.42</v>
      </c>
      <c r="Q29" s="2">
        <v>0.42</v>
      </c>
      <c r="R29" s="2">
        <v>0.42</v>
      </c>
      <c r="S29" s="2">
        <v>0.42</v>
      </c>
      <c r="T29" s="2">
        <v>0.42</v>
      </c>
      <c r="U29" s="2">
        <v>0.41</v>
      </c>
      <c r="V29" s="2">
        <v>0.41</v>
      </c>
      <c r="W29" s="2">
        <v>0.41</v>
      </c>
      <c r="X29" s="2">
        <v>0.41</v>
      </c>
      <c r="Y29" s="2">
        <v>0.41</v>
      </c>
      <c r="Z29" s="2">
        <v>0.42</v>
      </c>
      <c r="AA29" s="2">
        <v>0.42</v>
      </c>
      <c r="AB29" s="2">
        <v>0.42</v>
      </c>
      <c r="AC29" s="2">
        <v>0.42</v>
      </c>
      <c r="AD29" s="2">
        <v>0.42</v>
      </c>
      <c r="AE29" s="2">
        <v>0.42</v>
      </c>
      <c r="AF29" s="2">
        <v>0.42</v>
      </c>
      <c r="AG29" s="2">
        <v>0.42</v>
      </c>
      <c r="AH29" s="2">
        <v>0.42</v>
      </c>
      <c r="AI29" s="2">
        <v>0.42</v>
      </c>
      <c r="AJ29" s="2">
        <v>0.42</v>
      </c>
      <c r="AK29" s="2">
        <v>0.42</v>
      </c>
      <c r="AL29" s="2">
        <v>0.42</v>
      </c>
      <c r="AM29" s="2">
        <v>0.42</v>
      </c>
      <c r="AN29" s="2">
        <v>0.42</v>
      </c>
      <c r="AO29" s="2">
        <v>0.42</v>
      </c>
      <c r="AP29" s="2">
        <v>0.42</v>
      </c>
      <c r="AQ29" s="2">
        <v>0.42</v>
      </c>
      <c r="AR29" s="2">
        <v>0.42</v>
      </c>
      <c r="AS29" s="2">
        <v>0.42</v>
      </c>
      <c r="AT29" s="2">
        <v>0.42</v>
      </c>
      <c r="AU29" s="2">
        <v>0.42</v>
      </c>
      <c r="AV29" s="2">
        <v>0.42</v>
      </c>
      <c r="AW29" s="2">
        <v>0.42</v>
      </c>
      <c r="AX29" s="2">
        <v>0.41</v>
      </c>
      <c r="AY29" s="2">
        <v>0.42</v>
      </c>
      <c r="AZ29" s="2">
        <v>0.42</v>
      </c>
      <c r="BA29" s="2">
        <v>0.42</v>
      </c>
      <c r="BB29" s="2">
        <v>0.41</v>
      </c>
      <c r="BC29" s="2">
        <v>0.41</v>
      </c>
      <c r="BD29" s="2">
        <v>0.4</v>
      </c>
      <c r="BE29" s="2">
        <v>0.4</v>
      </c>
      <c r="BF29" s="2">
        <v>0.4</v>
      </c>
      <c r="BG29" s="2">
        <v>0.4</v>
      </c>
      <c r="BH29" s="2">
        <v>0.4</v>
      </c>
      <c r="BI29" s="2">
        <v>0.4</v>
      </c>
      <c r="BJ29" s="2">
        <v>0.4</v>
      </c>
      <c r="BK29" s="2">
        <v>0.4</v>
      </c>
      <c r="BL29" s="2">
        <v>0.4</v>
      </c>
      <c r="BM29" s="2">
        <v>0.4</v>
      </c>
      <c r="BN29" s="2">
        <v>0.4</v>
      </c>
      <c r="BO29" s="2">
        <v>0.4</v>
      </c>
      <c r="BP29" s="2">
        <v>0.4</v>
      </c>
      <c r="BQ29" s="2">
        <v>0.4</v>
      </c>
      <c r="BR29" s="2">
        <v>0.39</v>
      </c>
      <c r="BS29" s="2">
        <v>0.39</v>
      </c>
      <c r="BT29" s="2">
        <v>0.39</v>
      </c>
      <c r="BU29" s="2">
        <v>0.39</v>
      </c>
      <c r="BV29" s="2">
        <v>0.4</v>
      </c>
      <c r="BW29" s="2">
        <v>0.4</v>
      </c>
      <c r="BX29" s="2">
        <v>0.39</v>
      </c>
      <c r="BY29" s="2">
        <v>0.39</v>
      </c>
      <c r="BZ29" s="2">
        <v>0.39</v>
      </c>
      <c r="CA29" s="2">
        <v>0.39</v>
      </c>
      <c r="CB29" s="2">
        <v>0.39</v>
      </c>
      <c r="CC29" s="2">
        <v>0.39</v>
      </c>
      <c r="CD29" s="2">
        <v>0.38</v>
      </c>
      <c r="CE29" s="2">
        <v>0.38</v>
      </c>
      <c r="CF29" s="2">
        <v>0.38</v>
      </c>
      <c r="CG29" s="2">
        <v>0.38</v>
      </c>
      <c r="CH29" s="2">
        <v>0.39</v>
      </c>
      <c r="CI29" s="2">
        <v>0.38</v>
      </c>
      <c r="CJ29" s="2">
        <v>0.38</v>
      </c>
      <c r="CK29" s="2">
        <v>0.38</v>
      </c>
      <c r="CL29" s="2">
        <v>0.38</v>
      </c>
      <c r="CM29" s="2">
        <v>0.38</v>
      </c>
      <c r="CN29" s="2">
        <v>0.38</v>
      </c>
      <c r="CO29" s="2">
        <v>0.38</v>
      </c>
      <c r="CP29" s="2">
        <v>0.38</v>
      </c>
      <c r="CQ29" s="2">
        <v>0.38</v>
      </c>
      <c r="CR29" s="2">
        <v>0.38</v>
      </c>
      <c r="CS29" s="2">
        <v>0.38</v>
      </c>
      <c r="CT29" s="2">
        <v>0.38</v>
      </c>
      <c r="CU29" s="2">
        <v>0.38</v>
      </c>
      <c r="CV29" s="2">
        <v>0.38</v>
      </c>
      <c r="CW29" s="2">
        <v>0.39</v>
      </c>
      <c r="CX29" s="2">
        <v>0.38</v>
      </c>
      <c r="CY29" s="2">
        <v>0.38</v>
      </c>
      <c r="CZ29" s="2">
        <v>0.38</v>
      </c>
      <c r="DA29" s="2">
        <v>0.38</v>
      </c>
      <c r="DB29" s="2">
        <v>0.38</v>
      </c>
      <c r="DC29" s="2">
        <v>0.38</v>
      </c>
      <c r="DD29" s="2">
        <v>0.38</v>
      </c>
      <c r="DE29" s="2">
        <v>0.38</v>
      </c>
      <c r="DF29" s="2">
        <v>0.38</v>
      </c>
      <c r="DG29" s="2">
        <v>0.38</v>
      </c>
      <c r="DH29" s="2">
        <v>0.38</v>
      </c>
      <c r="DI29" s="2">
        <v>0.38</v>
      </c>
      <c r="DJ29" s="2">
        <v>0.38</v>
      </c>
      <c r="DK29" s="2">
        <v>0.38</v>
      </c>
      <c r="DL29" s="2">
        <v>0.38</v>
      </c>
      <c r="DM29" s="2">
        <v>0.39</v>
      </c>
      <c r="DN29" s="2">
        <v>0.39</v>
      </c>
      <c r="DO29" s="2">
        <v>0.39</v>
      </c>
      <c r="DP29" s="2">
        <v>0.39</v>
      </c>
      <c r="DQ29" s="2">
        <v>0.39</v>
      </c>
      <c r="DR29" s="2">
        <v>0.39</v>
      </c>
      <c r="DS29" s="2">
        <v>0.38</v>
      </c>
      <c r="DT29" s="2">
        <v>0.38</v>
      </c>
      <c r="DU29" s="2">
        <v>0.38</v>
      </c>
      <c r="DV29" s="2">
        <v>0.38</v>
      </c>
      <c r="DW29" s="2">
        <v>0.39</v>
      </c>
      <c r="DX29" s="2">
        <v>0.39</v>
      </c>
      <c r="DY29" s="2">
        <v>0.39</v>
      </c>
      <c r="DZ29" s="2">
        <v>0.39</v>
      </c>
      <c r="EA29" s="2">
        <v>0.39</v>
      </c>
      <c r="EB29" s="2">
        <v>0.39</v>
      </c>
      <c r="EC29" s="2">
        <v>0.39</v>
      </c>
      <c r="ED29" s="2">
        <v>0.39</v>
      </c>
      <c r="EE29" s="2">
        <v>0.39</v>
      </c>
      <c r="EF29" s="2">
        <v>0.39</v>
      </c>
      <c r="EG29" s="2">
        <v>0.39</v>
      </c>
      <c r="EH29" s="2">
        <v>0.38</v>
      </c>
      <c r="EI29" s="2">
        <v>0.38</v>
      </c>
      <c r="EJ29" s="2">
        <v>0.39</v>
      </c>
      <c r="EK29" s="2">
        <v>0.39</v>
      </c>
      <c r="EL29" s="2">
        <v>0.39</v>
      </c>
      <c r="EM29" s="2">
        <v>0.39</v>
      </c>
      <c r="EN29" s="2">
        <v>0.39</v>
      </c>
      <c r="EO29" s="2">
        <v>0.39</v>
      </c>
      <c r="EP29" s="2">
        <v>0.39</v>
      </c>
      <c r="EQ29" s="2">
        <v>0.39</v>
      </c>
      <c r="ER29" s="2">
        <v>0.39</v>
      </c>
      <c r="ES29" s="2">
        <v>0.39</v>
      </c>
      <c r="ET29" s="2">
        <v>0.39</v>
      </c>
      <c r="EU29" s="2">
        <v>0.39</v>
      </c>
      <c r="EV29" s="2">
        <v>0.39</v>
      </c>
      <c r="EW29" s="2">
        <v>0.39</v>
      </c>
      <c r="EX29" s="2">
        <v>0.39</v>
      </c>
      <c r="EY29" s="2">
        <v>0.39</v>
      </c>
      <c r="EZ29" s="2">
        <v>0.39</v>
      </c>
      <c r="FA29" s="2">
        <v>0.39</v>
      </c>
      <c r="FB29" s="2">
        <v>0.39</v>
      </c>
      <c r="FC29" s="2">
        <v>0.39</v>
      </c>
      <c r="FD29" s="2">
        <v>0.39</v>
      </c>
      <c r="FE29" s="2">
        <v>0.38</v>
      </c>
      <c r="FF29" s="2">
        <v>0.38</v>
      </c>
      <c r="FG29" s="2">
        <v>0.38</v>
      </c>
      <c r="FH29" s="2">
        <v>0.39</v>
      </c>
      <c r="FI29" s="2">
        <v>0.39</v>
      </c>
      <c r="FJ29" s="2">
        <v>0.39</v>
      </c>
      <c r="FK29" s="2">
        <v>0.39</v>
      </c>
      <c r="FL29" s="2">
        <v>0.39</v>
      </c>
      <c r="FM29" s="2">
        <v>0.39</v>
      </c>
      <c r="FN29" s="2">
        <v>0.39</v>
      </c>
      <c r="FO29" s="2">
        <v>0.39</v>
      </c>
      <c r="FP29" s="2">
        <v>0.39</v>
      </c>
      <c r="FQ29" s="2">
        <v>0.39</v>
      </c>
      <c r="FR29" s="2">
        <v>0.39</v>
      </c>
      <c r="FS29" s="2">
        <v>0.4</v>
      </c>
      <c r="FT29" s="2">
        <v>0.4</v>
      </c>
      <c r="FU29" s="2">
        <v>0.4</v>
      </c>
      <c r="FV29" s="2">
        <v>0.39</v>
      </c>
      <c r="FW29" s="2">
        <v>0.39</v>
      </c>
      <c r="FX29" s="2">
        <v>0.39</v>
      </c>
      <c r="FY29" s="2">
        <v>0.4</v>
      </c>
      <c r="FZ29" s="2">
        <v>0.4</v>
      </c>
      <c r="GA29" s="2">
        <v>0.4</v>
      </c>
      <c r="GB29" s="2">
        <v>0.4</v>
      </c>
      <c r="GC29" s="2">
        <v>0.4</v>
      </c>
      <c r="GD29" s="2">
        <v>0.4</v>
      </c>
      <c r="GE29" s="2">
        <v>0.4</v>
      </c>
      <c r="GF29" s="2">
        <v>0.4</v>
      </c>
      <c r="GG29" s="2">
        <v>0.4</v>
      </c>
      <c r="GH29" s="2">
        <v>0.4</v>
      </c>
      <c r="GI29" s="2">
        <v>0.4</v>
      </c>
      <c r="GJ29" s="2">
        <v>0.4</v>
      </c>
      <c r="GK29" s="2">
        <v>0.4</v>
      </c>
      <c r="GL29" s="2">
        <v>0.41</v>
      </c>
      <c r="GM29" s="2">
        <v>0.41</v>
      </c>
      <c r="GN29" s="2">
        <v>0.41</v>
      </c>
      <c r="GO29" s="2">
        <v>0.41</v>
      </c>
      <c r="GP29" s="2">
        <v>0.41</v>
      </c>
      <c r="GQ29" s="2">
        <v>0.41</v>
      </c>
      <c r="GR29" s="2">
        <v>0.41</v>
      </c>
      <c r="GS29" s="2">
        <v>0.41</v>
      </c>
      <c r="GT29" s="2">
        <v>0.41</v>
      </c>
      <c r="GU29" s="2">
        <v>0.41</v>
      </c>
      <c r="GV29" s="2">
        <v>0.41</v>
      </c>
      <c r="GW29" s="2">
        <v>0.41</v>
      </c>
      <c r="GX29" s="2">
        <v>0.41</v>
      </c>
      <c r="GY29" s="2">
        <v>0.41</v>
      </c>
      <c r="GZ29" s="2">
        <v>0.41</v>
      </c>
      <c r="HA29" s="2">
        <v>0.41</v>
      </c>
      <c r="HB29" s="2">
        <v>0.41</v>
      </c>
      <c r="HC29" s="2">
        <v>0.41</v>
      </c>
      <c r="HD29" s="2">
        <v>0.41</v>
      </c>
      <c r="HE29" s="2">
        <v>0.41</v>
      </c>
      <c r="HF29" s="2">
        <v>0.41</v>
      </c>
      <c r="HG29" s="2">
        <v>0.41</v>
      </c>
      <c r="HH29" s="2">
        <v>0.41</v>
      </c>
      <c r="HI29" s="2">
        <v>0.41</v>
      </c>
      <c r="HJ29" s="2">
        <v>0.41</v>
      </c>
      <c r="HK29" s="2">
        <v>0.42</v>
      </c>
      <c r="HL29" s="2">
        <v>0.42</v>
      </c>
      <c r="HM29" s="2">
        <v>0.41</v>
      </c>
      <c r="HN29" s="2">
        <v>0.42</v>
      </c>
      <c r="HO29" s="2">
        <v>0.42</v>
      </c>
      <c r="HP29" s="2">
        <v>0.42</v>
      </c>
      <c r="HQ29" s="2">
        <v>0.42</v>
      </c>
      <c r="HR29" s="2">
        <v>0.42</v>
      </c>
      <c r="HS29" s="2">
        <v>0.41</v>
      </c>
      <c r="HT29" s="2">
        <v>0.41</v>
      </c>
      <c r="HU29" s="2">
        <v>0.4</v>
      </c>
      <c r="HV29" s="2">
        <v>0.4</v>
      </c>
      <c r="HW29" s="2">
        <v>0.4</v>
      </c>
      <c r="HX29" s="2">
        <v>0.41</v>
      </c>
      <c r="HY29" s="2">
        <v>0.41</v>
      </c>
      <c r="HZ29" s="2">
        <v>0.41</v>
      </c>
      <c r="IA29" s="2">
        <v>0.41</v>
      </c>
      <c r="IB29" s="2">
        <v>0.41</v>
      </c>
      <c r="IC29" s="2">
        <v>0.41</v>
      </c>
      <c r="ID29" s="2">
        <v>0.41</v>
      </c>
      <c r="IE29" s="2">
        <v>0.41</v>
      </c>
      <c r="IF29" s="2">
        <v>0.41</v>
      </c>
      <c r="IG29" s="2">
        <v>0.41</v>
      </c>
      <c r="IH29" s="2">
        <v>0.41</v>
      </c>
      <c r="II29" s="2">
        <v>0.41</v>
      </c>
      <c r="IJ29" s="2">
        <v>0.41</v>
      </c>
      <c r="IK29" s="2">
        <v>0.41</v>
      </c>
      <c r="IL29" s="2">
        <v>0.41</v>
      </c>
      <c r="IM29" s="2">
        <v>0.41</v>
      </c>
      <c r="IN29" s="2">
        <v>0.4</v>
      </c>
      <c r="IO29" s="2">
        <v>0.41</v>
      </c>
      <c r="IP29" s="2">
        <v>0.4</v>
      </c>
      <c r="IQ29" s="2">
        <v>0.4</v>
      </c>
      <c r="IR29" s="2">
        <v>0.4</v>
      </c>
    </row>
    <row r="30" spans="1:252" ht="23.25" customHeight="1" x14ac:dyDescent="0.3">
      <c r="A30" s="4" t="s">
        <v>298</v>
      </c>
      <c r="B30" s="4">
        <v>33</v>
      </c>
      <c r="C30" s="4" t="s">
        <v>323</v>
      </c>
      <c r="D30" s="3" t="s">
        <v>300</v>
      </c>
      <c r="E30" s="3" t="s">
        <v>301</v>
      </c>
      <c r="F30" s="2">
        <v>2.8</v>
      </c>
      <c r="G30" s="2">
        <v>2.81</v>
      </c>
      <c r="H30" s="2">
        <v>2.81</v>
      </c>
      <c r="I30" s="2">
        <v>2.8</v>
      </c>
      <c r="J30" s="2">
        <v>2.82</v>
      </c>
      <c r="K30" s="2">
        <v>2.84</v>
      </c>
      <c r="L30" s="2">
        <v>2.86</v>
      </c>
      <c r="M30" s="2">
        <v>2.87</v>
      </c>
      <c r="N30" s="2">
        <v>2.88</v>
      </c>
      <c r="O30" s="2">
        <v>2.9</v>
      </c>
      <c r="P30" s="2">
        <v>2.9</v>
      </c>
      <c r="Q30" s="2">
        <v>2.9</v>
      </c>
      <c r="R30" s="2">
        <v>2.89</v>
      </c>
      <c r="S30" s="2">
        <v>2.87</v>
      </c>
      <c r="T30" s="2">
        <v>2.87</v>
      </c>
      <c r="U30" s="2">
        <v>2.83</v>
      </c>
      <c r="V30" s="2">
        <v>2.86</v>
      </c>
      <c r="W30" s="2">
        <v>2.87</v>
      </c>
      <c r="X30" s="2">
        <v>2.86</v>
      </c>
      <c r="Y30" s="2">
        <v>2.88</v>
      </c>
      <c r="Z30" s="2">
        <v>2.91</v>
      </c>
      <c r="AA30" s="2">
        <v>2.92</v>
      </c>
      <c r="AB30" s="2">
        <v>2.93</v>
      </c>
      <c r="AC30" s="2">
        <v>2.9</v>
      </c>
      <c r="AD30" s="2">
        <v>2.95</v>
      </c>
      <c r="AE30" s="2">
        <v>2.96</v>
      </c>
      <c r="AF30" s="2">
        <v>2.98</v>
      </c>
      <c r="AG30" s="2">
        <v>2.95</v>
      </c>
      <c r="AH30" s="2">
        <v>2.91</v>
      </c>
      <c r="AI30" s="2">
        <v>2.9</v>
      </c>
      <c r="AJ30" s="2">
        <v>2.9</v>
      </c>
      <c r="AK30" s="2">
        <v>2.91</v>
      </c>
      <c r="AL30" s="2">
        <v>2.88</v>
      </c>
      <c r="AM30" s="2">
        <v>2.9</v>
      </c>
      <c r="AN30" s="2">
        <v>2.92</v>
      </c>
      <c r="AO30" s="2">
        <v>2.92</v>
      </c>
      <c r="AP30" s="2">
        <v>2.92</v>
      </c>
      <c r="AQ30" s="2">
        <v>2.93</v>
      </c>
      <c r="AR30" s="2">
        <v>2.93</v>
      </c>
      <c r="AS30" s="2">
        <v>2.91</v>
      </c>
      <c r="AT30" s="2">
        <v>2.91</v>
      </c>
      <c r="AU30" s="2">
        <v>2.92</v>
      </c>
      <c r="AV30" s="2">
        <v>2.92</v>
      </c>
      <c r="AW30" s="2">
        <v>2.92</v>
      </c>
      <c r="AX30" s="2">
        <v>2.82</v>
      </c>
      <c r="AY30" s="2">
        <v>2.81</v>
      </c>
      <c r="AZ30" s="2">
        <v>2.84</v>
      </c>
      <c r="BA30" s="2">
        <v>2.85</v>
      </c>
      <c r="BB30" s="2">
        <v>2.83</v>
      </c>
      <c r="BC30" s="2">
        <v>2.8</v>
      </c>
      <c r="BD30" s="2">
        <v>2.76</v>
      </c>
      <c r="BE30" s="2">
        <v>2.75</v>
      </c>
      <c r="BF30" s="2">
        <v>2.72</v>
      </c>
      <c r="BG30" s="2">
        <v>2.71</v>
      </c>
      <c r="BH30" s="2">
        <v>2.72</v>
      </c>
      <c r="BI30" s="2">
        <v>2.73</v>
      </c>
      <c r="BJ30" s="2">
        <v>2.75</v>
      </c>
      <c r="BK30" s="2">
        <v>2.75</v>
      </c>
      <c r="BL30" s="2">
        <v>2.77</v>
      </c>
      <c r="BM30" s="2">
        <v>2.79</v>
      </c>
      <c r="BN30" s="2">
        <v>2.81</v>
      </c>
      <c r="BO30" s="2">
        <v>2.81</v>
      </c>
      <c r="BP30" s="2">
        <v>2.77</v>
      </c>
      <c r="BQ30" s="2">
        <v>2.77</v>
      </c>
      <c r="BR30" s="2">
        <v>2.71</v>
      </c>
      <c r="BS30" s="2">
        <v>2.7</v>
      </c>
      <c r="BT30" s="2">
        <v>2.72</v>
      </c>
      <c r="BU30" s="2">
        <v>2.73</v>
      </c>
      <c r="BV30" s="2">
        <v>2.78</v>
      </c>
      <c r="BW30" s="2">
        <v>2.79</v>
      </c>
      <c r="BX30" s="2">
        <v>2.74</v>
      </c>
      <c r="BY30" s="2">
        <v>2.74</v>
      </c>
      <c r="BZ30" s="2">
        <v>2.74</v>
      </c>
      <c r="CA30" s="2">
        <v>2.72</v>
      </c>
      <c r="CB30" s="2">
        <v>2.72</v>
      </c>
      <c r="CC30" s="2">
        <v>2.72</v>
      </c>
      <c r="CD30" s="2">
        <v>2.69</v>
      </c>
      <c r="CE30" s="2">
        <v>2.67</v>
      </c>
      <c r="CF30" s="2">
        <v>2.67</v>
      </c>
      <c r="CG30" s="2">
        <v>2.69</v>
      </c>
      <c r="CH30" s="2">
        <v>2.72</v>
      </c>
      <c r="CI30" s="2">
        <v>2.69</v>
      </c>
      <c r="CJ30" s="2">
        <v>2.69</v>
      </c>
      <c r="CK30" s="2">
        <v>2.69</v>
      </c>
      <c r="CL30" s="2">
        <v>2.66</v>
      </c>
      <c r="CM30" s="2">
        <v>2.67</v>
      </c>
      <c r="CN30" s="2">
        <v>2.67</v>
      </c>
      <c r="CO30" s="2">
        <v>2.68</v>
      </c>
      <c r="CP30" s="2">
        <v>2.66</v>
      </c>
      <c r="CQ30" s="2">
        <v>2.67</v>
      </c>
      <c r="CR30" s="2">
        <v>2.65</v>
      </c>
      <c r="CS30" s="2">
        <v>2.63</v>
      </c>
      <c r="CT30" s="2">
        <v>2.64</v>
      </c>
      <c r="CU30" s="2">
        <v>2.66</v>
      </c>
      <c r="CV30" s="2">
        <v>2.63</v>
      </c>
      <c r="CW30" s="2">
        <v>2.65</v>
      </c>
      <c r="CX30" s="2">
        <v>2.63</v>
      </c>
      <c r="CY30" s="2">
        <v>2.62</v>
      </c>
      <c r="CZ30" s="2">
        <v>2.62</v>
      </c>
      <c r="DA30" s="2">
        <v>2.61</v>
      </c>
      <c r="DB30" s="2">
        <v>2.61</v>
      </c>
      <c r="DC30" s="2">
        <v>2.61</v>
      </c>
      <c r="DD30" s="2">
        <v>2.62</v>
      </c>
      <c r="DE30" s="2">
        <v>2.61</v>
      </c>
      <c r="DF30" s="2">
        <v>2.63</v>
      </c>
      <c r="DG30" s="2">
        <v>2.63</v>
      </c>
      <c r="DH30" s="2">
        <v>2.63</v>
      </c>
      <c r="DI30" s="2">
        <v>2.65</v>
      </c>
      <c r="DJ30" s="2">
        <v>2.64</v>
      </c>
      <c r="DK30" s="2">
        <v>2.62</v>
      </c>
      <c r="DL30" s="2">
        <v>2.63</v>
      </c>
      <c r="DM30" s="2">
        <v>2.63</v>
      </c>
      <c r="DN30" s="2">
        <v>2.62</v>
      </c>
      <c r="DO30" s="2">
        <v>2.61</v>
      </c>
      <c r="DP30" s="2">
        <v>2.62</v>
      </c>
      <c r="DQ30" s="2">
        <v>2.62</v>
      </c>
      <c r="DR30" s="2">
        <v>2.59</v>
      </c>
      <c r="DS30" s="2">
        <v>2.56</v>
      </c>
      <c r="DT30" s="2">
        <v>2.52</v>
      </c>
      <c r="DU30" s="2">
        <v>2.52</v>
      </c>
      <c r="DV30" s="2">
        <v>2.54</v>
      </c>
      <c r="DW30" s="2">
        <v>2.56</v>
      </c>
      <c r="DX30" s="2">
        <v>2.5499999999999998</v>
      </c>
      <c r="DY30" s="2">
        <v>2.57</v>
      </c>
      <c r="DZ30" s="2">
        <v>2.58</v>
      </c>
      <c r="EA30" s="2">
        <v>2.56</v>
      </c>
      <c r="EB30" s="2">
        <v>2.58</v>
      </c>
      <c r="EC30" s="2">
        <v>2.59</v>
      </c>
      <c r="ED30" s="2">
        <v>2.57</v>
      </c>
      <c r="EE30" s="2">
        <v>2.56</v>
      </c>
      <c r="EF30" s="2">
        <v>2.5499999999999998</v>
      </c>
      <c r="EG30" s="2">
        <v>2.57</v>
      </c>
      <c r="EH30" s="2">
        <v>2.57</v>
      </c>
      <c r="EI30" s="2">
        <v>2.56</v>
      </c>
      <c r="EJ30" s="2">
        <v>2.57</v>
      </c>
      <c r="EK30" s="2">
        <v>2.58</v>
      </c>
      <c r="EL30" s="2">
        <v>2.6</v>
      </c>
      <c r="EM30" s="2">
        <v>2.6</v>
      </c>
      <c r="EN30" s="2">
        <v>2.6</v>
      </c>
      <c r="EO30" s="2">
        <v>2.59</v>
      </c>
      <c r="EP30" s="2">
        <v>2.6</v>
      </c>
      <c r="EQ30" s="2">
        <v>2.59</v>
      </c>
      <c r="ER30" s="2">
        <v>2.58</v>
      </c>
      <c r="ES30" s="2">
        <v>2.58</v>
      </c>
      <c r="ET30" s="2">
        <v>2.59</v>
      </c>
      <c r="EU30" s="2">
        <v>2.58</v>
      </c>
      <c r="EV30" s="2">
        <v>2.58</v>
      </c>
      <c r="EW30" s="2">
        <v>2.58</v>
      </c>
      <c r="EX30" s="2">
        <v>2.59</v>
      </c>
      <c r="EY30" s="2">
        <v>2.6</v>
      </c>
      <c r="EZ30" s="2">
        <v>2.58</v>
      </c>
      <c r="FA30" s="2">
        <v>2.58</v>
      </c>
      <c r="FB30" s="2">
        <v>2.57</v>
      </c>
      <c r="FC30" s="2">
        <v>2.57</v>
      </c>
      <c r="FD30" s="2">
        <v>2.57</v>
      </c>
      <c r="FE30" s="2">
        <v>2.56</v>
      </c>
      <c r="FF30" s="2">
        <v>2.5499999999999998</v>
      </c>
      <c r="FG30" s="2">
        <v>2.56</v>
      </c>
      <c r="FH30" s="2">
        <v>2.57</v>
      </c>
      <c r="FI30" s="2">
        <v>2.57</v>
      </c>
      <c r="FJ30" s="2">
        <v>2.56</v>
      </c>
      <c r="FK30" s="2">
        <v>2.57</v>
      </c>
      <c r="FL30" s="2">
        <v>2.58</v>
      </c>
      <c r="FM30" s="2">
        <v>2.59</v>
      </c>
      <c r="FN30" s="2">
        <v>2.56</v>
      </c>
      <c r="FO30" s="2">
        <v>2.56</v>
      </c>
      <c r="FP30" s="2">
        <v>2.57</v>
      </c>
      <c r="FQ30" s="2">
        <v>2.59</v>
      </c>
      <c r="FR30" s="2">
        <v>2.64</v>
      </c>
      <c r="FS30" s="2">
        <v>2.66</v>
      </c>
      <c r="FT30" s="2">
        <v>2.65</v>
      </c>
      <c r="FU30" s="2">
        <v>2.64</v>
      </c>
      <c r="FV30" s="2">
        <v>2.65</v>
      </c>
      <c r="FW30" s="2">
        <v>2.64</v>
      </c>
      <c r="FX30" s="2">
        <v>2.64</v>
      </c>
      <c r="FY30" s="2">
        <v>2.64</v>
      </c>
      <c r="FZ30" s="2">
        <v>2.66</v>
      </c>
      <c r="GA30" s="2">
        <v>2.67</v>
      </c>
      <c r="GB30" s="2">
        <v>2.67</v>
      </c>
      <c r="GC30" s="2">
        <v>2.66</v>
      </c>
      <c r="GD30" s="2">
        <v>2.69</v>
      </c>
      <c r="GE30" s="2">
        <v>2.71</v>
      </c>
      <c r="GF30" s="2">
        <v>2.68</v>
      </c>
      <c r="GG30" s="2">
        <v>2.7</v>
      </c>
      <c r="GH30" s="2">
        <v>2.72</v>
      </c>
      <c r="GI30" s="2">
        <v>2.74</v>
      </c>
      <c r="GJ30" s="2">
        <v>2.76</v>
      </c>
      <c r="GK30" s="2">
        <v>2.75</v>
      </c>
      <c r="GL30" s="2">
        <v>2.77</v>
      </c>
      <c r="GM30" s="2">
        <v>2.77</v>
      </c>
      <c r="GN30" s="2">
        <v>2.79</v>
      </c>
      <c r="GO30" s="2">
        <v>2.79</v>
      </c>
      <c r="GP30" s="2">
        <v>2.8</v>
      </c>
      <c r="GQ30" s="2">
        <v>2.78</v>
      </c>
      <c r="GR30" s="2">
        <v>2.79</v>
      </c>
      <c r="GS30" s="2">
        <v>2.82</v>
      </c>
      <c r="GT30" s="2">
        <v>2.82</v>
      </c>
      <c r="GU30" s="2">
        <v>2.83</v>
      </c>
      <c r="GV30" s="2">
        <v>2.83</v>
      </c>
      <c r="GW30" s="2">
        <v>2.83</v>
      </c>
      <c r="GX30" s="2">
        <v>2.85</v>
      </c>
      <c r="GY30" s="2">
        <v>2.82</v>
      </c>
      <c r="GZ30" s="2">
        <v>2.84</v>
      </c>
      <c r="HA30" s="2">
        <v>2.86</v>
      </c>
      <c r="HB30" s="2">
        <v>2.88</v>
      </c>
      <c r="HC30" s="2">
        <v>2.9</v>
      </c>
      <c r="HD30" s="2">
        <v>2.92</v>
      </c>
      <c r="HE30" s="2">
        <v>2.91</v>
      </c>
      <c r="HF30" s="2">
        <v>2.91</v>
      </c>
      <c r="HG30" s="2">
        <v>2.88</v>
      </c>
      <c r="HH30" s="2">
        <v>2.85</v>
      </c>
      <c r="HI30" s="2">
        <v>2.84</v>
      </c>
      <c r="HJ30" s="2">
        <v>2.82</v>
      </c>
      <c r="HK30" s="2">
        <v>2.83</v>
      </c>
      <c r="HL30" s="2">
        <v>2.86</v>
      </c>
      <c r="HM30" s="2">
        <v>2.85</v>
      </c>
      <c r="HN30" s="2">
        <v>2.87</v>
      </c>
      <c r="HO30" s="2">
        <v>2.86</v>
      </c>
      <c r="HP30" s="2">
        <v>2.85</v>
      </c>
      <c r="HQ30" s="2">
        <v>2.87</v>
      </c>
      <c r="HR30" s="2">
        <v>2.91</v>
      </c>
      <c r="HS30" s="2">
        <v>2.86</v>
      </c>
      <c r="HT30" s="2">
        <v>2.85</v>
      </c>
      <c r="HU30" s="2">
        <v>2.86</v>
      </c>
      <c r="HV30" s="2">
        <v>2.86</v>
      </c>
      <c r="HW30" s="2">
        <v>2.83</v>
      </c>
      <c r="HX30" s="2">
        <v>2.84</v>
      </c>
      <c r="HY30" s="2">
        <v>2.82</v>
      </c>
      <c r="HZ30" s="2">
        <v>2.84</v>
      </c>
      <c r="IA30" s="2">
        <v>2.84</v>
      </c>
      <c r="IB30" s="2">
        <v>2.84</v>
      </c>
      <c r="IC30" s="2">
        <v>2.85</v>
      </c>
      <c r="ID30" s="2">
        <v>2.87</v>
      </c>
      <c r="IE30" s="2">
        <v>2.89</v>
      </c>
      <c r="IF30" s="2">
        <v>2.89</v>
      </c>
      <c r="IG30" s="2">
        <v>2.88</v>
      </c>
      <c r="IH30" s="2">
        <v>2.88</v>
      </c>
      <c r="II30" s="2">
        <v>2.89</v>
      </c>
      <c r="IJ30" s="2">
        <v>2.91</v>
      </c>
      <c r="IK30" s="2">
        <v>2.9</v>
      </c>
      <c r="IL30" s="2">
        <v>2.9</v>
      </c>
      <c r="IM30" s="2">
        <v>2.9</v>
      </c>
      <c r="IN30" s="2">
        <v>2.87</v>
      </c>
      <c r="IO30" s="2">
        <v>2.88</v>
      </c>
      <c r="IP30" s="2">
        <v>2.83</v>
      </c>
      <c r="IQ30" s="2">
        <v>2.84</v>
      </c>
      <c r="IR30" s="2">
        <v>2.85</v>
      </c>
    </row>
    <row r="31" spans="1:252" ht="23.25" customHeight="1" x14ac:dyDescent="0.3">
      <c r="A31" s="4" t="s">
        <v>298</v>
      </c>
      <c r="B31" s="4">
        <v>28</v>
      </c>
      <c r="C31" s="4" t="s">
        <v>324</v>
      </c>
      <c r="D31" s="3" t="s">
        <v>300</v>
      </c>
      <c r="E31" s="3" t="s">
        <v>301</v>
      </c>
      <c r="F31" s="2">
        <v>42.99</v>
      </c>
      <c r="G31" s="2">
        <v>43.4</v>
      </c>
      <c r="H31" s="2">
        <v>43.42</v>
      </c>
      <c r="I31" s="2">
        <v>43.18</v>
      </c>
      <c r="J31" s="2">
        <v>42.81</v>
      </c>
      <c r="K31" s="2">
        <v>42.7</v>
      </c>
      <c r="L31" s="2">
        <v>42.91</v>
      </c>
      <c r="M31" s="2">
        <v>42.67</v>
      </c>
      <c r="N31" s="2">
        <v>42.7</v>
      </c>
      <c r="O31" s="2">
        <v>43.09</v>
      </c>
      <c r="P31" s="2">
        <v>42.9</v>
      </c>
      <c r="Q31" s="2">
        <v>42.75</v>
      </c>
      <c r="R31" s="2">
        <v>42.91</v>
      </c>
      <c r="S31" s="2">
        <v>42.68</v>
      </c>
      <c r="T31" s="2">
        <v>42.89</v>
      </c>
      <c r="U31" s="2">
        <v>42.73</v>
      </c>
      <c r="V31" s="2">
        <v>42.65</v>
      </c>
      <c r="W31" s="2">
        <v>42.34</v>
      </c>
      <c r="X31" s="2">
        <v>42.43</v>
      </c>
      <c r="Y31" s="2">
        <v>42.29</v>
      </c>
      <c r="Z31" s="2">
        <v>42.85</v>
      </c>
      <c r="AA31" s="2">
        <v>43.32</v>
      </c>
      <c r="AB31" s="2">
        <v>43.34</v>
      </c>
      <c r="AC31" s="2">
        <v>42.78</v>
      </c>
      <c r="AD31" s="2">
        <v>42.89</v>
      </c>
      <c r="AE31" s="2">
        <v>42.8</v>
      </c>
      <c r="AF31" s="2">
        <v>43.24</v>
      </c>
      <c r="AG31" s="2">
        <v>42.95</v>
      </c>
      <c r="AH31" s="2">
        <v>43.08</v>
      </c>
      <c r="AI31" s="2">
        <v>43.29</v>
      </c>
      <c r="AJ31" s="2">
        <v>43.1</v>
      </c>
      <c r="AK31" s="2">
        <v>43.04</v>
      </c>
      <c r="AL31" s="2">
        <v>43.24</v>
      </c>
      <c r="AM31" s="2">
        <v>43.28</v>
      </c>
      <c r="AN31" s="2">
        <v>43.48</v>
      </c>
      <c r="AO31" s="2">
        <v>43.19</v>
      </c>
      <c r="AP31" s="2">
        <v>43.45</v>
      </c>
      <c r="AQ31" s="2">
        <v>43.12</v>
      </c>
      <c r="AR31" s="2">
        <v>43.32</v>
      </c>
      <c r="AS31" s="2">
        <v>43.19</v>
      </c>
      <c r="AT31" s="2">
        <v>43.31</v>
      </c>
      <c r="AU31" s="2">
        <v>43.03</v>
      </c>
      <c r="AV31" s="2">
        <v>42.66</v>
      </c>
      <c r="AW31" s="2">
        <v>42.82</v>
      </c>
      <c r="AX31" s="2">
        <v>41.67</v>
      </c>
      <c r="AY31" s="2">
        <v>42.26</v>
      </c>
      <c r="AZ31" s="2">
        <v>42.13</v>
      </c>
      <c r="BA31" s="2">
        <v>43.4</v>
      </c>
      <c r="BB31" s="2">
        <v>43.02</v>
      </c>
      <c r="BC31" s="2">
        <v>43.29</v>
      </c>
      <c r="BD31" s="2">
        <v>42.5</v>
      </c>
      <c r="BE31" s="2">
        <v>42.42</v>
      </c>
      <c r="BF31" s="2">
        <v>43.12</v>
      </c>
      <c r="BG31" s="2">
        <v>43.04</v>
      </c>
      <c r="BH31" s="2">
        <v>42.65</v>
      </c>
      <c r="BI31" s="2">
        <v>42.85</v>
      </c>
      <c r="BJ31" s="2">
        <v>42.27</v>
      </c>
      <c r="BK31" s="2">
        <v>42.46</v>
      </c>
      <c r="BL31" s="2">
        <v>42.81</v>
      </c>
      <c r="BM31" s="2">
        <v>42.79</v>
      </c>
      <c r="BN31" s="2">
        <v>43.14</v>
      </c>
      <c r="BO31" s="2">
        <v>43.02</v>
      </c>
      <c r="BP31" s="2">
        <v>42.55</v>
      </c>
      <c r="BQ31" s="2">
        <v>43.62</v>
      </c>
      <c r="BR31" s="2">
        <v>42.35</v>
      </c>
      <c r="BS31" s="2">
        <v>42.26</v>
      </c>
      <c r="BT31" s="2">
        <v>42.54</v>
      </c>
      <c r="BU31" s="2">
        <v>41.87</v>
      </c>
      <c r="BV31" s="2">
        <v>42.49</v>
      </c>
      <c r="BW31" s="2">
        <v>42.34</v>
      </c>
      <c r="BX31" s="2">
        <v>42.16</v>
      </c>
      <c r="BY31" s="2">
        <v>41.99</v>
      </c>
      <c r="BZ31" s="2">
        <v>42.19</v>
      </c>
      <c r="CA31" s="2">
        <v>42.31</v>
      </c>
      <c r="CB31" s="2">
        <v>42.4</v>
      </c>
      <c r="CC31" s="2">
        <v>41.97</v>
      </c>
      <c r="CD31" s="2">
        <v>42.29</v>
      </c>
      <c r="CE31" s="2">
        <v>41.85</v>
      </c>
      <c r="CF31" s="2">
        <v>41.79</v>
      </c>
      <c r="CG31" s="2">
        <v>41.99</v>
      </c>
      <c r="CH31" s="2">
        <v>42.47</v>
      </c>
      <c r="CI31" s="2">
        <v>41.96</v>
      </c>
      <c r="CJ31" s="2">
        <v>42.17</v>
      </c>
      <c r="CK31" s="2">
        <v>42.13</v>
      </c>
      <c r="CL31" s="2">
        <v>41.53</v>
      </c>
      <c r="CM31" s="2">
        <v>41.59</v>
      </c>
      <c r="CN31" s="2">
        <v>41.67</v>
      </c>
      <c r="CO31" s="2">
        <v>42.03</v>
      </c>
      <c r="CP31" s="2">
        <v>42.06</v>
      </c>
      <c r="CQ31" s="2">
        <v>42.14</v>
      </c>
      <c r="CR31" s="2">
        <v>42.03</v>
      </c>
      <c r="CS31" s="2">
        <v>41.78</v>
      </c>
      <c r="CT31" s="2">
        <v>42.03</v>
      </c>
      <c r="CU31" s="2">
        <v>42.1</v>
      </c>
      <c r="CV31" s="2">
        <v>41.65</v>
      </c>
      <c r="CW31" s="2">
        <v>42.15</v>
      </c>
      <c r="CX31" s="2">
        <v>41.85</v>
      </c>
      <c r="CY31" s="2">
        <v>41.84</v>
      </c>
      <c r="CZ31" s="2">
        <v>41.77</v>
      </c>
      <c r="DA31" s="2">
        <v>41.56</v>
      </c>
      <c r="DB31" s="2">
        <v>41.73</v>
      </c>
      <c r="DC31" s="2">
        <v>41.68</v>
      </c>
      <c r="DD31" s="2">
        <v>42.02</v>
      </c>
      <c r="DE31" s="2">
        <v>41.86</v>
      </c>
      <c r="DF31" s="2">
        <v>42.16</v>
      </c>
      <c r="DG31" s="2">
        <v>41.87</v>
      </c>
      <c r="DH31" s="2">
        <v>41.97</v>
      </c>
      <c r="DI31" s="2">
        <v>42.05</v>
      </c>
      <c r="DJ31" s="2">
        <v>42.1</v>
      </c>
      <c r="DK31" s="2">
        <v>42.4</v>
      </c>
      <c r="DL31" s="2">
        <v>42.47</v>
      </c>
      <c r="DM31" s="2">
        <v>42.43</v>
      </c>
      <c r="DN31" s="2">
        <v>42.73</v>
      </c>
      <c r="DO31" s="2">
        <v>42.81</v>
      </c>
      <c r="DP31" s="2">
        <v>42.95</v>
      </c>
      <c r="DQ31" s="2">
        <v>43.16</v>
      </c>
      <c r="DR31" s="2">
        <v>43.07</v>
      </c>
      <c r="DS31" s="2">
        <v>42.89</v>
      </c>
      <c r="DT31" s="2">
        <v>42.43</v>
      </c>
      <c r="DU31" s="2">
        <v>42.51</v>
      </c>
      <c r="DV31" s="2">
        <v>42.44</v>
      </c>
      <c r="DW31" s="2">
        <v>42.98</v>
      </c>
      <c r="DX31" s="2">
        <v>42.25</v>
      </c>
      <c r="DY31" s="2">
        <v>42.44</v>
      </c>
      <c r="DZ31" s="2">
        <v>43.09</v>
      </c>
      <c r="EA31" s="2">
        <v>42.86</v>
      </c>
      <c r="EB31" s="2">
        <v>42.89</v>
      </c>
      <c r="EC31" s="2">
        <v>42.96</v>
      </c>
      <c r="ED31" s="2">
        <v>42.87</v>
      </c>
      <c r="EE31" s="2">
        <v>42.82</v>
      </c>
      <c r="EF31" s="2">
        <v>42.77</v>
      </c>
      <c r="EG31" s="2">
        <v>42.89</v>
      </c>
      <c r="EH31" s="2">
        <v>42.84</v>
      </c>
      <c r="EI31" s="2">
        <v>42.55</v>
      </c>
      <c r="EJ31" s="2">
        <v>42.6</v>
      </c>
      <c r="EK31" s="2">
        <v>42.64</v>
      </c>
      <c r="EL31" s="2">
        <v>42.91</v>
      </c>
      <c r="EM31" s="2">
        <v>42.79</v>
      </c>
      <c r="EN31" s="2">
        <v>43.05</v>
      </c>
      <c r="EO31" s="2">
        <v>42.68</v>
      </c>
      <c r="EP31" s="2">
        <v>42.87</v>
      </c>
      <c r="EQ31" s="2">
        <v>43.06</v>
      </c>
      <c r="ER31" s="2">
        <v>43.03</v>
      </c>
      <c r="ES31" s="2">
        <v>42.92</v>
      </c>
      <c r="ET31" s="2">
        <v>43.1</v>
      </c>
      <c r="EU31" s="2">
        <v>43.07</v>
      </c>
      <c r="EV31" s="2">
        <v>43.18</v>
      </c>
      <c r="EW31" s="2">
        <v>43.12</v>
      </c>
      <c r="EX31" s="2">
        <v>43.35</v>
      </c>
      <c r="EY31" s="2">
        <v>43.85</v>
      </c>
      <c r="EZ31" s="2">
        <v>43.64</v>
      </c>
      <c r="FA31" s="2">
        <v>43.7</v>
      </c>
      <c r="FB31" s="2">
        <v>43.81</v>
      </c>
      <c r="FC31" s="2">
        <v>43.75</v>
      </c>
      <c r="FD31" s="2">
        <v>43.69</v>
      </c>
      <c r="FE31" s="2">
        <v>43.65</v>
      </c>
      <c r="FF31" s="2">
        <v>43.42</v>
      </c>
      <c r="FG31" s="2">
        <v>43.38</v>
      </c>
      <c r="FH31" s="2">
        <v>43.76</v>
      </c>
      <c r="FI31" s="2">
        <v>43.88</v>
      </c>
      <c r="FJ31" s="2">
        <v>43.73</v>
      </c>
      <c r="FK31" s="2">
        <v>43.43</v>
      </c>
      <c r="FL31" s="2">
        <v>43.48</v>
      </c>
      <c r="FM31" s="2">
        <v>43.78</v>
      </c>
      <c r="FN31" s="2">
        <v>43.52</v>
      </c>
      <c r="FO31" s="2">
        <v>43.26</v>
      </c>
      <c r="FP31" s="2">
        <v>43.43</v>
      </c>
      <c r="FQ31" s="2">
        <v>42.75</v>
      </c>
      <c r="FR31" s="2">
        <v>43.53</v>
      </c>
      <c r="FS31" s="2">
        <v>43.81</v>
      </c>
      <c r="FT31" s="2">
        <v>43.74</v>
      </c>
      <c r="FU31" s="2">
        <v>43.79</v>
      </c>
      <c r="FV31" s="2">
        <v>43.65</v>
      </c>
      <c r="FW31" s="2">
        <v>43.28</v>
      </c>
      <c r="FX31" s="2">
        <v>43.62</v>
      </c>
      <c r="FY31" s="2">
        <v>43.36</v>
      </c>
      <c r="FZ31" s="2">
        <v>43.6</v>
      </c>
      <c r="GA31" s="2">
        <v>43.77</v>
      </c>
      <c r="GB31" s="2">
        <v>43.91</v>
      </c>
      <c r="GC31" s="2">
        <v>43.88</v>
      </c>
      <c r="GD31" s="2">
        <v>44.32</v>
      </c>
      <c r="GE31" s="2">
        <v>44.24</v>
      </c>
      <c r="GF31" s="2">
        <v>43.99</v>
      </c>
      <c r="GG31" s="2">
        <v>44.07</v>
      </c>
      <c r="GH31" s="2">
        <v>44.02</v>
      </c>
      <c r="GI31" s="2">
        <v>44.13</v>
      </c>
      <c r="GJ31" s="2">
        <v>44.51</v>
      </c>
      <c r="GK31" s="2">
        <v>44.6</v>
      </c>
      <c r="GL31" s="2">
        <v>44.88</v>
      </c>
      <c r="GM31" s="2">
        <v>44.99</v>
      </c>
      <c r="GN31" s="2">
        <v>45.13</v>
      </c>
      <c r="GO31" s="2">
        <v>45.31</v>
      </c>
      <c r="GP31" s="2">
        <v>45.43</v>
      </c>
      <c r="GQ31" s="2">
        <v>45.01</v>
      </c>
      <c r="GR31" s="2">
        <v>44.93</v>
      </c>
      <c r="GS31" s="2">
        <v>45.22</v>
      </c>
      <c r="GT31" s="2">
        <v>45.1</v>
      </c>
      <c r="GU31" s="2">
        <v>45.29</v>
      </c>
      <c r="GV31" s="2">
        <v>45.44</v>
      </c>
      <c r="GW31" s="2">
        <v>45.47</v>
      </c>
      <c r="GX31" s="2">
        <v>45.67</v>
      </c>
      <c r="GY31" s="2">
        <v>45.4</v>
      </c>
      <c r="GZ31" s="2">
        <v>45.45</v>
      </c>
      <c r="HA31" s="2">
        <v>45.65</v>
      </c>
      <c r="HB31" s="2">
        <v>45.87</v>
      </c>
      <c r="HC31" s="2">
        <v>45.91</v>
      </c>
      <c r="HD31" s="2">
        <v>46.06</v>
      </c>
      <c r="HE31" s="2">
        <v>45.95</v>
      </c>
      <c r="HF31" s="2">
        <v>46.18</v>
      </c>
      <c r="HG31" s="2">
        <v>46.06</v>
      </c>
      <c r="HH31" s="2">
        <v>46.2</v>
      </c>
      <c r="HI31" s="2">
        <v>46.24</v>
      </c>
      <c r="HJ31" s="2">
        <v>46.44</v>
      </c>
      <c r="HK31" s="2">
        <v>46.61</v>
      </c>
      <c r="HL31" s="2">
        <v>46.86</v>
      </c>
      <c r="HM31" s="2">
        <v>46.82</v>
      </c>
      <c r="HN31" s="2">
        <v>46.97</v>
      </c>
      <c r="HO31" s="2">
        <v>47.04</v>
      </c>
      <c r="HP31" s="2">
        <v>47.03</v>
      </c>
      <c r="HQ31" s="2">
        <v>47.48</v>
      </c>
      <c r="HR31" s="2">
        <v>47.67</v>
      </c>
      <c r="HS31" s="2">
        <v>47.02</v>
      </c>
      <c r="HT31" s="2">
        <v>46.47</v>
      </c>
      <c r="HU31" s="2">
        <v>45.38</v>
      </c>
      <c r="HV31" s="2">
        <v>45.62</v>
      </c>
      <c r="HW31" s="2">
        <v>45.55</v>
      </c>
      <c r="HX31" s="2">
        <v>45.81</v>
      </c>
      <c r="HY31" s="2">
        <v>46.21</v>
      </c>
      <c r="HZ31" s="2">
        <v>46.28</v>
      </c>
      <c r="IA31" s="2">
        <v>46.2</v>
      </c>
      <c r="IB31" s="2">
        <v>46.08</v>
      </c>
      <c r="IC31" s="2">
        <v>46.37</v>
      </c>
      <c r="ID31" s="2">
        <v>46.87</v>
      </c>
      <c r="IE31" s="2">
        <v>46.77</v>
      </c>
      <c r="IF31" s="2">
        <v>46.98</v>
      </c>
      <c r="IG31" s="2">
        <v>46.84</v>
      </c>
      <c r="IH31" s="2">
        <v>46.86</v>
      </c>
      <c r="II31" s="2">
        <v>47.19</v>
      </c>
      <c r="IJ31" s="2">
        <v>47.59</v>
      </c>
      <c r="IK31" s="2">
        <v>47.15</v>
      </c>
      <c r="IL31" s="2">
        <v>47.28</v>
      </c>
      <c r="IM31" s="2">
        <v>47.35</v>
      </c>
      <c r="IN31" s="2">
        <v>46.32</v>
      </c>
      <c r="IO31" s="2">
        <v>46.82</v>
      </c>
      <c r="IP31" s="2">
        <v>45.95</v>
      </c>
      <c r="IQ31" s="2">
        <v>45.68</v>
      </c>
      <c r="IR31" s="2">
        <v>45.46</v>
      </c>
    </row>
    <row r="32" spans="1:252" ht="23.25" customHeight="1" x14ac:dyDescent="0.3">
      <c r="A32" s="4" t="s">
        <v>298</v>
      </c>
      <c r="B32" s="4">
        <v>24</v>
      </c>
      <c r="C32" s="4" t="s">
        <v>325</v>
      </c>
      <c r="D32" s="3" t="s">
        <v>300</v>
      </c>
      <c r="E32" s="3" t="s">
        <v>301</v>
      </c>
      <c r="F32" s="2">
        <v>1062.56</v>
      </c>
      <c r="G32" s="2">
        <v>1080.93</v>
      </c>
      <c r="H32" s="2">
        <v>1079.99</v>
      </c>
      <c r="I32" s="2">
        <v>1075.3900000000001</v>
      </c>
      <c r="J32" s="2">
        <v>1071.53</v>
      </c>
      <c r="K32" s="2">
        <v>1066.54</v>
      </c>
      <c r="L32" s="2">
        <v>1072.18</v>
      </c>
      <c r="M32" s="2">
        <v>1074.44</v>
      </c>
      <c r="N32" s="2">
        <v>1073.57</v>
      </c>
      <c r="O32" s="2">
        <v>1079.68</v>
      </c>
      <c r="P32" s="2">
        <v>1077.4100000000001</v>
      </c>
      <c r="Q32" s="2">
        <v>1074.33</v>
      </c>
      <c r="R32" s="2">
        <v>1075.73</v>
      </c>
      <c r="S32" s="2">
        <v>1073.1500000000001</v>
      </c>
      <c r="T32" s="2">
        <v>1079.8599999999999</v>
      </c>
      <c r="U32" s="2">
        <v>1073.3900000000001</v>
      </c>
      <c r="V32" s="2">
        <v>1067.08</v>
      </c>
      <c r="W32" s="2">
        <v>1070.8399999999999</v>
      </c>
      <c r="X32" s="2">
        <v>1069.94</v>
      </c>
      <c r="Y32" s="2">
        <v>1067.79</v>
      </c>
      <c r="Z32" s="2">
        <v>1083.17</v>
      </c>
      <c r="AA32" s="2">
        <v>1091.04</v>
      </c>
      <c r="AB32" s="2">
        <v>1094.2</v>
      </c>
      <c r="AC32" s="2">
        <v>1081.92</v>
      </c>
      <c r="AD32" s="2">
        <v>1087.53</v>
      </c>
      <c r="AE32" s="2">
        <v>1088.49</v>
      </c>
      <c r="AF32" s="2">
        <v>1095.75</v>
      </c>
      <c r="AG32" s="2">
        <v>1089.8399999999999</v>
      </c>
      <c r="AH32" s="2">
        <v>1086.79</v>
      </c>
      <c r="AI32" s="2">
        <v>1091.17</v>
      </c>
      <c r="AJ32" s="2">
        <v>1088.52</v>
      </c>
      <c r="AK32" s="2">
        <v>1087.31</v>
      </c>
      <c r="AL32" s="2">
        <v>1091.75</v>
      </c>
      <c r="AM32" s="2">
        <v>1093.1199999999999</v>
      </c>
      <c r="AN32" s="2">
        <v>1097.9000000000001</v>
      </c>
      <c r="AO32" s="2">
        <v>1095.8499999999999</v>
      </c>
      <c r="AP32" s="2">
        <v>1099.6300000000001</v>
      </c>
      <c r="AQ32" s="2">
        <v>1092.33</v>
      </c>
      <c r="AR32" s="2">
        <v>1095.04</v>
      </c>
      <c r="AS32" s="2">
        <v>1092.32</v>
      </c>
      <c r="AT32" s="2">
        <v>1094.5999999999999</v>
      </c>
      <c r="AU32" s="2">
        <v>1094.93</v>
      </c>
      <c r="AV32" s="2">
        <v>1087.94</v>
      </c>
      <c r="AW32" s="2">
        <v>1098.8399999999999</v>
      </c>
      <c r="AX32" s="2">
        <v>1069.75</v>
      </c>
      <c r="AY32" s="2">
        <v>1083.76</v>
      </c>
      <c r="AZ32" s="2">
        <v>1086.26</v>
      </c>
      <c r="BA32" s="2">
        <v>1105.07</v>
      </c>
      <c r="BB32" s="2">
        <v>1096.4100000000001</v>
      </c>
      <c r="BC32" s="2">
        <v>1099.05</v>
      </c>
      <c r="BD32" s="2">
        <v>1084.6500000000001</v>
      </c>
      <c r="BE32" s="2">
        <v>1079.24</v>
      </c>
      <c r="BF32" s="2">
        <v>1089.29</v>
      </c>
      <c r="BG32" s="2">
        <v>1082.57</v>
      </c>
      <c r="BH32" s="2">
        <v>1085.78</v>
      </c>
      <c r="BI32" s="2">
        <v>1087.32</v>
      </c>
      <c r="BJ32" s="2">
        <v>1082.57</v>
      </c>
      <c r="BK32" s="2">
        <v>1084.25</v>
      </c>
      <c r="BL32" s="2">
        <v>1090.5899999999999</v>
      </c>
      <c r="BM32" s="2">
        <v>1090.78</v>
      </c>
      <c r="BN32" s="2">
        <v>1099.25</v>
      </c>
      <c r="BO32" s="2">
        <v>1099.3900000000001</v>
      </c>
      <c r="BP32" s="2">
        <v>1088.1199999999999</v>
      </c>
      <c r="BQ32" s="2">
        <v>1106.79</v>
      </c>
      <c r="BR32" s="2">
        <v>1077.02</v>
      </c>
      <c r="BS32" s="2">
        <v>1073.3900000000001</v>
      </c>
      <c r="BT32" s="2">
        <v>1083.3599999999999</v>
      </c>
      <c r="BU32" s="2">
        <v>1071.8699999999999</v>
      </c>
      <c r="BV32" s="2">
        <v>1086.42</v>
      </c>
      <c r="BW32" s="2">
        <v>1088.2</v>
      </c>
      <c r="BX32" s="2">
        <v>1079.3599999999999</v>
      </c>
      <c r="BY32" s="2">
        <v>1073.8599999999999</v>
      </c>
      <c r="BZ32" s="2">
        <v>1079.3699999999999</v>
      </c>
      <c r="CA32" s="2">
        <v>1075.4100000000001</v>
      </c>
      <c r="CB32" s="2">
        <v>1075.19</v>
      </c>
      <c r="CC32" s="2">
        <v>1066.83</v>
      </c>
      <c r="CD32" s="2">
        <v>1071.93</v>
      </c>
      <c r="CE32" s="2">
        <v>1063.21</v>
      </c>
      <c r="CF32" s="2">
        <v>1061.8499999999999</v>
      </c>
      <c r="CG32" s="2">
        <v>1065.71</v>
      </c>
      <c r="CH32" s="2">
        <v>1073.52</v>
      </c>
      <c r="CI32" s="2">
        <v>1067.3</v>
      </c>
      <c r="CJ32" s="2">
        <v>1067.74</v>
      </c>
      <c r="CK32" s="2">
        <v>1068.4000000000001</v>
      </c>
      <c r="CL32" s="2">
        <v>1053.82</v>
      </c>
      <c r="CM32" s="2">
        <v>1056.6099999999999</v>
      </c>
      <c r="CN32" s="2">
        <v>1057.18</v>
      </c>
      <c r="CO32" s="2">
        <v>1066</v>
      </c>
      <c r="CP32" s="2">
        <v>1065.81</v>
      </c>
      <c r="CQ32" s="2">
        <v>1065.6500000000001</v>
      </c>
      <c r="CR32" s="2">
        <v>1064.94</v>
      </c>
      <c r="CS32" s="2">
        <v>1058.29</v>
      </c>
      <c r="CT32" s="2">
        <v>1068.3900000000001</v>
      </c>
      <c r="CU32" s="2">
        <v>1072.7</v>
      </c>
      <c r="CV32" s="2">
        <v>1062.54</v>
      </c>
      <c r="CW32" s="2">
        <v>1076.96</v>
      </c>
      <c r="CX32" s="2">
        <v>1066.3599999999999</v>
      </c>
      <c r="CY32" s="2">
        <v>1064.95</v>
      </c>
      <c r="CZ32" s="2">
        <v>1064.78</v>
      </c>
      <c r="DA32" s="2">
        <v>1063.3399999999999</v>
      </c>
      <c r="DB32" s="2">
        <v>1065.03</v>
      </c>
      <c r="DC32" s="2">
        <v>1062.6500000000001</v>
      </c>
      <c r="DD32" s="2">
        <v>1067.9100000000001</v>
      </c>
      <c r="DE32" s="2">
        <v>1065.18</v>
      </c>
      <c r="DF32" s="2">
        <v>1070.5899999999999</v>
      </c>
      <c r="DG32" s="2">
        <v>1068.45</v>
      </c>
      <c r="DH32" s="2">
        <v>1069.08</v>
      </c>
      <c r="DI32" s="2">
        <v>1073.3699999999999</v>
      </c>
      <c r="DJ32" s="2">
        <v>1073.3699999999999</v>
      </c>
      <c r="DK32" s="2">
        <v>1072.94</v>
      </c>
      <c r="DL32" s="2">
        <v>1074.81</v>
      </c>
      <c r="DM32" s="2">
        <v>1075.8599999999999</v>
      </c>
      <c r="DN32" s="2">
        <v>1081.31</v>
      </c>
      <c r="DO32" s="2">
        <v>1082.1199999999999</v>
      </c>
      <c r="DP32" s="2">
        <v>1082.9000000000001</v>
      </c>
      <c r="DQ32" s="2">
        <v>1086.5</v>
      </c>
      <c r="DR32" s="2">
        <v>1084.3599999999999</v>
      </c>
      <c r="DS32" s="2">
        <v>1080.5</v>
      </c>
      <c r="DT32" s="2">
        <v>1071.22</v>
      </c>
      <c r="DU32" s="2">
        <v>1074.33</v>
      </c>
      <c r="DV32" s="2">
        <v>1072.53</v>
      </c>
      <c r="DW32" s="2">
        <v>1080.24</v>
      </c>
      <c r="DX32" s="2">
        <v>1067.01</v>
      </c>
      <c r="DY32" s="2">
        <v>1071.3900000000001</v>
      </c>
      <c r="DZ32" s="2">
        <v>1085.3599999999999</v>
      </c>
      <c r="EA32" s="2">
        <v>1076.1500000000001</v>
      </c>
      <c r="EB32" s="2">
        <v>1077.1300000000001</v>
      </c>
      <c r="EC32" s="2">
        <v>1081.2</v>
      </c>
      <c r="ED32" s="2">
        <v>1079.1300000000001</v>
      </c>
      <c r="EE32" s="2">
        <v>1078.22</v>
      </c>
      <c r="EF32" s="2">
        <v>1078.75</v>
      </c>
      <c r="EG32" s="2">
        <v>1083.47</v>
      </c>
      <c r="EH32" s="2">
        <v>1081.18</v>
      </c>
      <c r="EI32" s="2">
        <v>1077.74</v>
      </c>
      <c r="EJ32" s="2">
        <v>1078.31</v>
      </c>
      <c r="EK32" s="2">
        <v>1081.08</v>
      </c>
      <c r="EL32" s="2">
        <v>1087.17</v>
      </c>
      <c r="EM32" s="2">
        <v>1084.77</v>
      </c>
      <c r="EN32" s="2">
        <v>1088.53</v>
      </c>
      <c r="EO32" s="2">
        <v>1077.8699999999999</v>
      </c>
      <c r="EP32" s="2">
        <v>1082.31</v>
      </c>
      <c r="EQ32" s="2">
        <v>1085.73</v>
      </c>
      <c r="ER32" s="2">
        <v>1082.56</v>
      </c>
      <c r="ES32" s="2">
        <v>1080.8499999999999</v>
      </c>
      <c r="ET32" s="2">
        <v>1084.42</v>
      </c>
      <c r="EU32" s="2">
        <v>1080.0999999999999</v>
      </c>
      <c r="EV32" s="2">
        <v>1082.06</v>
      </c>
      <c r="EW32" s="2">
        <v>1080.03</v>
      </c>
      <c r="EX32" s="2">
        <v>1082.23</v>
      </c>
      <c r="EY32" s="2">
        <v>1083.79</v>
      </c>
      <c r="EZ32" s="2">
        <v>1080.8699999999999</v>
      </c>
      <c r="FA32" s="2">
        <v>1082.3699999999999</v>
      </c>
      <c r="FB32" s="2">
        <v>1084.1099999999999</v>
      </c>
      <c r="FC32" s="2">
        <v>1082.43</v>
      </c>
      <c r="FD32" s="2">
        <v>1085.25</v>
      </c>
      <c r="FE32" s="2">
        <v>1083.31</v>
      </c>
      <c r="FF32" s="2">
        <v>1080.02</v>
      </c>
      <c r="FG32" s="2">
        <v>1080.28</v>
      </c>
      <c r="FH32" s="2">
        <v>1084.6400000000001</v>
      </c>
      <c r="FI32" s="2">
        <v>1087.4100000000001</v>
      </c>
      <c r="FJ32" s="2">
        <v>1086.1099999999999</v>
      </c>
      <c r="FK32" s="2">
        <v>1082.53</v>
      </c>
      <c r="FL32" s="2">
        <v>1082.1400000000001</v>
      </c>
      <c r="FM32" s="2">
        <v>1092.6099999999999</v>
      </c>
      <c r="FN32" s="2">
        <v>1087.0999999999999</v>
      </c>
      <c r="FO32" s="2">
        <v>1088.22</v>
      </c>
      <c r="FP32" s="2">
        <v>1091.95</v>
      </c>
      <c r="FQ32" s="2">
        <v>1078.68</v>
      </c>
      <c r="FR32" s="2">
        <v>1095.18</v>
      </c>
      <c r="FS32" s="2">
        <v>1099.03</v>
      </c>
      <c r="FT32" s="2">
        <v>1100.17</v>
      </c>
      <c r="FU32" s="2">
        <v>1099.54</v>
      </c>
      <c r="FV32" s="2">
        <v>1097.48</v>
      </c>
      <c r="FW32" s="2">
        <v>1095.72</v>
      </c>
      <c r="FX32" s="2">
        <v>1097.78</v>
      </c>
      <c r="FY32" s="2">
        <v>1096.5</v>
      </c>
      <c r="FZ32" s="2">
        <v>1102.03</v>
      </c>
      <c r="GA32" s="2">
        <v>1106.31</v>
      </c>
      <c r="GB32" s="2">
        <v>1106.18</v>
      </c>
      <c r="GC32" s="2">
        <v>1105.07</v>
      </c>
      <c r="GD32" s="2">
        <v>1108.42</v>
      </c>
      <c r="GE32" s="2">
        <v>1104.69</v>
      </c>
      <c r="GF32" s="2">
        <v>1094.6400000000001</v>
      </c>
      <c r="GG32" s="2">
        <v>1096.95</v>
      </c>
      <c r="GH32" s="2">
        <v>1095.31</v>
      </c>
      <c r="GI32" s="2">
        <v>1099.2</v>
      </c>
      <c r="GJ32" s="2">
        <v>1107.33</v>
      </c>
      <c r="GK32" s="2">
        <v>1108.29</v>
      </c>
      <c r="GL32" s="2">
        <v>1116.83</v>
      </c>
      <c r="GM32" s="2">
        <v>1115.9100000000001</v>
      </c>
      <c r="GN32" s="2">
        <v>1124.76</v>
      </c>
      <c r="GO32" s="2">
        <v>1126.53</v>
      </c>
      <c r="GP32" s="2">
        <v>1129.69</v>
      </c>
      <c r="GQ32" s="2">
        <v>1123.3499999999999</v>
      </c>
      <c r="GR32" s="2">
        <v>1119.53</v>
      </c>
      <c r="GS32" s="2">
        <v>1125.52</v>
      </c>
      <c r="GT32" s="2">
        <v>1121.4000000000001</v>
      </c>
      <c r="GU32" s="2">
        <v>1122.6300000000001</v>
      </c>
      <c r="GV32" s="2">
        <v>1126.07</v>
      </c>
      <c r="GW32" s="2">
        <v>1129.29</v>
      </c>
      <c r="GX32" s="2">
        <v>1132.3699999999999</v>
      </c>
      <c r="GY32" s="2">
        <v>1127.54</v>
      </c>
      <c r="GZ32" s="2">
        <v>1129.55</v>
      </c>
      <c r="HA32" s="2">
        <v>1131.23</v>
      </c>
      <c r="HB32" s="2">
        <v>1133.8699999999999</v>
      </c>
      <c r="HC32" s="2">
        <v>1133.5999999999999</v>
      </c>
      <c r="HD32" s="2">
        <v>1135.23</v>
      </c>
      <c r="HE32" s="2">
        <v>1135.42</v>
      </c>
      <c r="HF32" s="2">
        <v>1135.92</v>
      </c>
      <c r="HG32" s="2">
        <v>1132.18</v>
      </c>
      <c r="HH32" s="2">
        <v>1133.78</v>
      </c>
      <c r="HI32" s="2">
        <v>1137.3800000000001</v>
      </c>
      <c r="HJ32" s="2">
        <v>1138</v>
      </c>
      <c r="HK32" s="2">
        <v>1139.57</v>
      </c>
      <c r="HL32" s="2">
        <v>1143.51</v>
      </c>
      <c r="HM32" s="2">
        <v>1142.19</v>
      </c>
      <c r="HN32" s="2">
        <v>1145.23</v>
      </c>
      <c r="HO32" s="2">
        <v>1145.25</v>
      </c>
      <c r="HP32" s="2">
        <v>1143.28</v>
      </c>
      <c r="HQ32" s="2">
        <v>1147.81</v>
      </c>
      <c r="HR32" s="2">
        <v>1154.3499999999999</v>
      </c>
      <c r="HS32" s="2">
        <v>1138.07</v>
      </c>
      <c r="HT32" s="2">
        <v>1122.4100000000001</v>
      </c>
      <c r="HU32" s="2">
        <v>1115.75</v>
      </c>
      <c r="HV32" s="2">
        <v>1117.52</v>
      </c>
      <c r="HW32" s="2">
        <v>1115.79</v>
      </c>
      <c r="HX32" s="2">
        <v>1120.77</v>
      </c>
      <c r="HY32" s="2">
        <v>1127.8</v>
      </c>
      <c r="HZ32" s="2">
        <v>1128.75</v>
      </c>
      <c r="IA32" s="2">
        <v>1129.0999999999999</v>
      </c>
      <c r="IB32" s="2">
        <v>1127.72</v>
      </c>
      <c r="IC32" s="2">
        <v>1130.8599999999999</v>
      </c>
      <c r="ID32" s="2">
        <v>1139.07</v>
      </c>
      <c r="IE32" s="2">
        <v>1142.8599999999999</v>
      </c>
      <c r="IF32" s="2">
        <v>1147.6600000000001</v>
      </c>
      <c r="IG32" s="2">
        <v>1141.1199999999999</v>
      </c>
      <c r="IH32" s="2">
        <v>1143.31</v>
      </c>
      <c r="II32" s="2">
        <v>1146.73</v>
      </c>
      <c r="IJ32" s="2">
        <v>1150.45</v>
      </c>
      <c r="IK32" s="2">
        <v>1146.46</v>
      </c>
      <c r="IL32" s="2">
        <v>1146.6099999999999</v>
      </c>
      <c r="IM32" s="2">
        <v>1155.23</v>
      </c>
      <c r="IN32" s="2">
        <v>1136.33</v>
      </c>
      <c r="IO32" s="2">
        <v>1149.57</v>
      </c>
      <c r="IP32" s="2">
        <v>1131.6099999999999</v>
      </c>
      <c r="IQ32" s="2">
        <v>1128.96</v>
      </c>
      <c r="IR32" s="2">
        <v>1127.8</v>
      </c>
    </row>
    <row r="33" spans="1:252" ht="23.25" customHeight="1" x14ac:dyDescent="0.3">
      <c r="A33" s="4" t="s">
        <v>298</v>
      </c>
      <c r="B33" s="4">
        <v>29</v>
      </c>
      <c r="C33" s="4" t="s">
        <v>326</v>
      </c>
      <c r="D33" s="3" t="s">
        <v>300</v>
      </c>
      <c r="E33" s="3" t="s">
        <v>301</v>
      </c>
      <c r="F33" s="2">
        <v>8.91</v>
      </c>
      <c r="G33" s="2">
        <v>8.94</v>
      </c>
      <c r="H33" s="2">
        <v>8.94</v>
      </c>
      <c r="I33" s="2">
        <v>8.9</v>
      </c>
      <c r="J33" s="2">
        <v>8.86</v>
      </c>
      <c r="K33" s="2">
        <v>8.89</v>
      </c>
      <c r="L33" s="2">
        <v>8.89</v>
      </c>
      <c r="M33" s="2">
        <v>8.8800000000000008</v>
      </c>
      <c r="N33" s="2">
        <v>8.8800000000000008</v>
      </c>
      <c r="O33" s="2">
        <v>8.8699999999999992</v>
      </c>
      <c r="P33" s="2">
        <v>8.8800000000000008</v>
      </c>
      <c r="Q33" s="2">
        <v>8.89</v>
      </c>
      <c r="R33" s="2">
        <v>8.8699999999999992</v>
      </c>
      <c r="S33" s="2">
        <v>8.82</v>
      </c>
      <c r="T33" s="2">
        <v>8.81</v>
      </c>
      <c r="U33" s="2">
        <v>8.8000000000000007</v>
      </c>
      <c r="V33" s="2">
        <v>8.7799999999999994</v>
      </c>
      <c r="W33" s="2">
        <v>8.75</v>
      </c>
      <c r="X33" s="2">
        <v>8.75</v>
      </c>
      <c r="Y33" s="2">
        <v>8.75</v>
      </c>
      <c r="Z33" s="2">
        <v>8.85</v>
      </c>
      <c r="AA33" s="2">
        <v>8.8800000000000008</v>
      </c>
      <c r="AB33" s="2">
        <v>8.93</v>
      </c>
      <c r="AC33" s="2">
        <v>8.83</v>
      </c>
      <c r="AD33" s="2">
        <v>8.8800000000000008</v>
      </c>
      <c r="AE33" s="2">
        <v>8.8800000000000008</v>
      </c>
      <c r="AF33" s="2">
        <v>8.89</v>
      </c>
      <c r="AG33" s="2">
        <v>8.83</v>
      </c>
      <c r="AH33" s="2">
        <v>8.84</v>
      </c>
      <c r="AI33" s="2">
        <v>8.9</v>
      </c>
      <c r="AJ33" s="2">
        <v>8.83</v>
      </c>
      <c r="AK33" s="2">
        <v>8.81</v>
      </c>
      <c r="AL33" s="2">
        <v>8.7899999999999991</v>
      </c>
      <c r="AM33" s="2">
        <v>8.86</v>
      </c>
      <c r="AN33" s="2">
        <v>8.89</v>
      </c>
      <c r="AO33" s="2">
        <v>8.86</v>
      </c>
      <c r="AP33" s="2">
        <v>8.86</v>
      </c>
      <c r="AQ33" s="2">
        <v>8.84</v>
      </c>
      <c r="AR33" s="2">
        <v>8.86</v>
      </c>
      <c r="AS33" s="2">
        <v>8.86</v>
      </c>
      <c r="AT33" s="2">
        <v>8.8800000000000008</v>
      </c>
      <c r="AU33" s="2">
        <v>8.89</v>
      </c>
      <c r="AV33" s="2">
        <v>8.86</v>
      </c>
      <c r="AW33" s="2">
        <v>8.86</v>
      </c>
      <c r="AX33" s="2">
        <v>8.69</v>
      </c>
      <c r="AY33" s="2">
        <v>8.85</v>
      </c>
      <c r="AZ33" s="2">
        <v>8.7200000000000006</v>
      </c>
      <c r="BA33" s="2">
        <v>8.7899999999999991</v>
      </c>
      <c r="BB33" s="2">
        <v>8.68</v>
      </c>
      <c r="BC33" s="2">
        <v>8.64</v>
      </c>
      <c r="BD33" s="2">
        <v>8.51</v>
      </c>
      <c r="BE33" s="2">
        <v>8.4600000000000009</v>
      </c>
      <c r="BF33" s="2">
        <v>8.48</v>
      </c>
      <c r="BG33" s="2">
        <v>8.44</v>
      </c>
      <c r="BH33" s="2">
        <v>8.4499999999999993</v>
      </c>
      <c r="BI33" s="2">
        <v>8.44</v>
      </c>
      <c r="BJ33" s="2">
        <v>8.44</v>
      </c>
      <c r="BK33" s="2">
        <v>8.4600000000000009</v>
      </c>
      <c r="BL33" s="2">
        <v>8.48</v>
      </c>
      <c r="BM33" s="2">
        <v>8.52</v>
      </c>
      <c r="BN33" s="2">
        <v>8.5399999999999991</v>
      </c>
      <c r="BO33" s="2">
        <v>8.58</v>
      </c>
      <c r="BP33" s="2">
        <v>8.6</v>
      </c>
      <c r="BQ33" s="2">
        <v>8.67</v>
      </c>
      <c r="BR33" s="2">
        <v>8.43</v>
      </c>
      <c r="BS33" s="2">
        <v>8.4600000000000009</v>
      </c>
      <c r="BT33" s="2">
        <v>8.51</v>
      </c>
      <c r="BU33" s="2">
        <v>8.48</v>
      </c>
      <c r="BV33" s="2">
        <v>8.56</v>
      </c>
      <c r="BW33" s="2">
        <v>8.5500000000000007</v>
      </c>
      <c r="BX33" s="2">
        <v>8.4700000000000006</v>
      </c>
      <c r="BY33" s="2">
        <v>8.48</v>
      </c>
      <c r="BZ33" s="2">
        <v>8.51</v>
      </c>
      <c r="CA33" s="2">
        <v>8.48</v>
      </c>
      <c r="CB33" s="2">
        <v>8.4600000000000009</v>
      </c>
      <c r="CC33" s="2">
        <v>8.44</v>
      </c>
      <c r="CD33" s="2">
        <v>8.49</v>
      </c>
      <c r="CE33" s="2">
        <v>8.41</v>
      </c>
      <c r="CF33" s="2">
        <v>8.41</v>
      </c>
      <c r="CG33" s="2">
        <v>8.44</v>
      </c>
      <c r="CH33" s="2">
        <v>8.48</v>
      </c>
      <c r="CI33" s="2">
        <v>8.4499999999999993</v>
      </c>
      <c r="CJ33" s="2">
        <v>8.4600000000000009</v>
      </c>
      <c r="CK33" s="2">
        <v>8.43</v>
      </c>
      <c r="CL33" s="2">
        <v>8.35</v>
      </c>
      <c r="CM33" s="2">
        <v>8.35</v>
      </c>
      <c r="CN33" s="2">
        <v>8.36</v>
      </c>
      <c r="CO33" s="2">
        <v>8.42</v>
      </c>
      <c r="CP33" s="2">
        <v>8.39</v>
      </c>
      <c r="CQ33" s="2">
        <v>8.39</v>
      </c>
      <c r="CR33" s="2">
        <v>8.3800000000000008</v>
      </c>
      <c r="CS33" s="2">
        <v>8.36</v>
      </c>
      <c r="CT33" s="2">
        <v>8.42</v>
      </c>
      <c r="CU33" s="2">
        <v>8.41</v>
      </c>
      <c r="CV33" s="2">
        <v>8.36</v>
      </c>
      <c r="CW33" s="2">
        <v>8.3800000000000008</v>
      </c>
      <c r="CX33" s="2">
        <v>8.35</v>
      </c>
      <c r="CY33" s="2">
        <v>8.35</v>
      </c>
      <c r="CZ33" s="2">
        <v>8.3800000000000008</v>
      </c>
      <c r="DA33" s="2">
        <v>8.3699999999999992</v>
      </c>
      <c r="DB33" s="2">
        <v>8.34</v>
      </c>
      <c r="DC33" s="2">
        <v>8.35</v>
      </c>
      <c r="DD33" s="2">
        <v>8.3699999999999992</v>
      </c>
      <c r="DE33" s="2">
        <v>8.39</v>
      </c>
      <c r="DF33" s="2">
        <v>8.43</v>
      </c>
      <c r="DG33" s="2">
        <v>8.42</v>
      </c>
      <c r="DH33" s="2">
        <v>8.44</v>
      </c>
      <c r="DI33" s="2">
        <v>8.4600000000000009</v>
      </c>
      <c r="DJ33" s="2">
        <v>8.4600000000000009</v>
      </c>
      <c r="DK33" s="2">
        <v>8.48</v>
      </c>
      <c r="DL33" s="2">
        <v>8.49</v>
      </c>
      <c r="DM33" s="2">
        <v>8.5</v>
      </c>
      <c r="DN33" s="2">
        <v>8.5299999999999994</v>
      </c>
      <c r="DO33" s="2">
        <v>8.52</v>
      </c>
      <c r="DP33" s="2">
        <v>8.5399999999999991</v>
      </c>
      <c r="DQ33" s="2">
        <v>8.5299999999999994</v>
      </c>
      <c r="DR33" s="2">
        <v>8.5</v>
      </c>
      <c r="DS33" s="2">
        <v>8.4700000000000006</v>
      </c>
      <c r="DT33" s="2">
        <v>8.4</v>
      </c>
      <c r="DU33" s="2">
        <v>8.43</v>
      </c>
      <c r="DV33" s="2">
        <v>8.44</v>
      </c>
      <c r="DW33" s="2">
        <v>8.49</v>
      </c>
      <c r="DX33" s="2">
        <v>8.44</v>
      </c>
      <c r="DY33" s="2">
        <v>8.4499999999999993</v>
      </c>
      <c r="DZ33" s="2">
        <v>8.49</v>
      </c>
      <c r="EA33" s="2">
        <v>8.4499999999999993</v>
      </c>
      <c r="EB33" s="2">
        <v>8.4700000000000006</v>
      </c>
      <c r="EC33" s="2">
        <v>8.49</v>
      </c>
      <c r="ED33" s="2">
        <v>8.5</v>
      </c>
      <c r="EE33" s="2">
        <v>8.51</v>
      </c>
      <c r="EF33" s="2">
        <v>8.5299999999999994</v>
      </c>
      <c r="EG33" s="2">
        <v>8.5399999999999991</v>
      </c>
      <c r="EH33" s="2">
        <v>8.5500000000000007</v>
      </c>
      <c r="EI33" s="2">
        <v>8.5500000000000007</v>
      </c>
      <c r="EJ33" s="2">
        <v>8.57</v>
      </c>
      <c r="EK33" s="2">
        <v>8.56</v>
      </c>
      <c r="EL33" s="2">
        <v>8.59</v>
      </c>
      <c r="EM33" s="2">
        <v>8.59</v>
      </c>
      <c r="EN33" s="2">
        <v>8.5399999999999991</v>
      </c>
      <c r="EO33" s="2">
        <v>8.5299999999999994</v>
      </c>
      <c r="EP33" s="2">
        <v>8.5399999999999991</v>
      </c>
      <c r="EQ33" s="2">
        <v>8.5299999999999994</v>
      </c>
      <c r="ER33" s="2">
        <v>8.5</v>
      </c>
      <c r="ES33" s="2">
        <v>8.42</v>
      </c>
      <c r="ET33" s="2">
        <v>8.48</v>
      </c>
      <c r="EU33" s="2">
        <v>8.49</v>
      </c>
      <c r="EV33" s="2">
        <v>8.49</v>
      </c>
      <c r="EW33" s="2">
        <v>8.48</v>
      </c>
      <c r="EX33" s="2">
        <v>8.48</v>
      </c>
      <c r="EY33" s="2">
        <v>8.5299999999999994</v>
      </c>
      <c r="EZ33" s="2">
        <v>8.42</v>
      </c>
      <c r="FA33" s="2">
        <v>8.43</v>
      </c>
      <c r="FB33" s="2">
        <v>8.44</v>
      </c>
      <c r="FC33" s="2">
        <v>8.48</v>
      </c>
      <c r="FD33" s="2">
        <v>8.4700000000000006</v>
      </c>
      <c r="FE33" s="2">
        <v>8.41</v>
      </c>
      <c r="FF33" s="2">
        <v>8.4</v>
      </c>
      <c r="FG33" s="2">
        <v>8.39</v>
      </c>
      <c r="FH33" s="2">
        <v>8.4</v>
      </c>
      <c r="FI33" s="2">
        <v>8.4</v>
      </c>
      <c r="FJ33" s="2">
        <v>8.36</v>
      </c>
      <c r="FK33" s="2">
        <v>8.3699999999999992</v>
      </c>
      <c r="FL33" s="2">
        <v>8.3699999999999992</v>
      </c>
      <c r="FM33" s="2">
        <v>8.44</v>
      </c>
      <c r="FN33" s="2">
        <v>8.41</v>
      </c>
      <c r="FO33" s="2">
        <v>8.42</v>
      </c>
      <c r="FP33" s="2">
        <v>8.4700000000000006</v>
      </c>
      <c r="FQ33" s="2">
        <v>8.4700000000000006</v>
      </c>
      <c r="FR33" s="2">
        <v>8.58</v>
      </c>
      <c r="FS33" s="2">
        <v>8.6199999999999992</v>
      </c>
      <c r="FT33" s="2">
        <v>8.6199999999999992</v>
      </c>
      <c r="FU33" s="2">
        <v>8.6</v>
      </c>
      <c r="FV33" s="2">
        <v>8.56</v>
      </c>
      <c r="FW33" s="2">
        <v>8.56</v>
      </c>
      <c r="FX33" s="2">
        <v>8.57</v>
      </c>
      <c r="FY33" s="2">
        <v>8.58</v>
      </c>
      <c r="FZ33" s="2">
        <v>8.6300000000000008</v>
      </c>
      <c r="GA33" s="2">
        <v>8.64</v>
      </c>
      <c r="GB33" s="2">
        <v>8.65</v>
      </c>
      <c r="GC33" s="2">
        <v>8.6199999999999992</v>
      </c>
      <c r="GD33" s="2">
        <v>8.64</v>
      </c>
      <c r="GE33" s="2">
        <v>8.6199999999999992</v>
      </c>
      <c r="GF33" s="2">
        <v>8.5500000000000007</v>
      </c>
      <c r="GG33" s="2">
        <v>8.58</v>
      </c>
      <c r="GH33" s="2">
        <v>8.58</v>
      </c>
      <c r="GI33" s="2">
        <v>8.61</v>
      </c>
      <c r="GJ33" s="2">
        <v>8.66</v>
      </c>
      <c r="GK33" s="2">
        <v>8.66</v>
      </c>
      <c r="GL33" s="2">
        <v>8.7100000000000009</v>
      </c>
      <c r="GM33" s="2">
        <v>8.73</v>
      </c>
      <c r="GN33" s="2">
        <v>8.77</v>
      </c>
      <c r="GO33" s="2">
        <v>8.7799999999999994</v>
      </c>
      <c r="GP33" s="2">
        <v>8.7899999999999991</v>
      </c>
      <c r="GQ33" s="2">
        <v>8.74</v>
      </c>
      <c r="GR33" s="2">
        <v>8.7200000000000006</v>
      </c>
      <c r="GS33" s="2">
        <v>8.75</v>
      </c>
      <c r="GT33" s="2">
        <v>8.7799999999999994</v>
      </c>
      <c r="GU33" s="2">
        <v>8.7799999999999994</v>
      </c>
      <c r="GV33" s="2">
        <v>8.82</v>
      </c>
      <c r="GW33" s="2">
        <v>8.83</v>
      </c>
      <c r="GX33" s="2">
        <v>8.84</v>
      </c>
      <c r="GY33" s="2">
        <v>8.7799999999999994</v>
      </c>
      <c r="GZ33" s="2">
        <v>8.8000000000000007</v>
      </c>
      <c r="HA33" s="2">
        <v>8.8000000000000007</v>
      </c>
      <c r="HB33" s="2">
        <v>8.82</v>
      </c>
      <c r="HC33" s="2">
        <v>8.84</v>
      </c>
      <c r="HD33" s="2">
        <v>8.84</v>
      </c>
      <c r="HE33" s="2">
        <v>8.84</v>
      </c>
      <c r="HF33" s="2">
        <v>8.85</v>
      </c>
      <c r="HG33" s="2">
        <v>8.8000000000000007</v>
      </c>
      <c r="HH33" s="2">
        <v>8.82</v>
      </c>
      <c r="HI33" s="2">
        <v>8.81</v>
      </c>
      <c r="HJ33" s="2">
        <v>8.82</v>
      </c>
      <c r="HK33" s="2">
        <v>8.85</v>
      </c>
      <c r="HL33" s="2">
        <v>8.85</v>
      </c>
      <c r="HM33" s="2">
        <v>8.82</v>
      </c>
      <c r="HN33" s="2">
        <v>8.86</v>
      </c>
      <c r="HO33" s="2">
        <v>8.84</v>
      </c>
      <c r="HP33" s="2">
        <v>8.83</v>
      </c>
      <c r="HQ33" s="2">
        <v>8.82</v>
      </c>
      <c r="HR33" s="2">
        <v>8.85</v>
      </c>
      <c r="HS33" s="2">
        <v>8.7200000000000006</v>
      </c>
      <c r="HT33" s="2">
        <v>8.61</v>
      </c>
      <c r="HU33" s="2">
        <v>8.5399999999999991</v>
      </c>
      <c r="HV33" s="2">
        <v>8.56</v>
      </c>
      <c r="HW33" s="2">
        <v>8.61</v>
      </c>
      <c r="HX33" s="2">
        <v>8.6300000000000008</v>
      </c>
      <c r="HY33" s="2">
        <v>8.64</v>
      </c>
      <c r="HZ33" s="2">
        <v>8.6300000000000008</v>
      </c>
      <c r="IA33" s="2">
        <v>8.6300000000000008</v>
      </c>
      <c r="IB33" s="2">
        <v>8.6300000000000008</v>
      </c>
      <c r="IC33" s="2">
        <v>8.66</v>
      </c>
      <c r="ID33" s="2">
        <v>8.6999999999999993</v>
      </c>
      <c r="IE33" s="2">
        <v>8.73</v>
      </c>
      <c r="IF33" s="2">
        <v>8.76</v>
      </c>
      <c r="IG33" s="2">
        <v>8.6999999999999993</v>
      </c>
      <c r="IH33" s="2">
        <v>8.73</v>
      </c>
      <c r="II33" s="2">
        <v>8.6999999999999993</v>
      </c>
      <c r="IJ33" s="2">
        <v>8.7100000000000009</v>
      </c>
      <c r="IK33" s="2">
        <v>8.6999999999999993</v>
      </c>
      <c r="IL33" s="2">
        <v>8.6999999999999993</v>
      </c>
      <c r="IM33" s="2">
        <v>8.73</v>
      </c>
      <c r="IN33" s="2">
        <v>8.6</v>
      </c>
      <c r="IO33" s="2">
        <v>8.64</v>
      </c>
      <c r="IP33" s="2">
        <v>8.5500000000000007</v>
      </c>
      <c r="IQ33" s="2">
        <v>8.52</v>
      </c>
      <c r="IR33" s="2">
        <v>8.56</v>
      </c>
    </row>
    <row r="34" spans="1:252" ht="23.25" customHeight="1" x14ac:dyDescent="0.3">
      <c r="A34" s="4" t="s">
        <v>298</v>
      </c>
      <c r="B34" s="4">
        <v>25</v>
      </c>
      <c r="C34" s="4" t="s">
        <v>327</v>
      </c>
      <c r="D34" s="3" t="s">
        <v>300</v>
      </c>
      <c r="E34" s="3" t="s">
        <v>301</v>
      </c>
      <c r="F34" s="2">
        <v>326.14999999999998</v>
      </c>
      <c r="G34" s="2">
        <v>328.31</v>
      </c>
      <c r="H34" s="2">
        <v>328.71</v>
      </c>
      <c r="I34" s="2">
        <v>327.87</v>
      </c>
      <c r="J34" s="2">
        <v>326.88</v>
      </c>
      <c r="K34" s="2">
        <v>325.99</v>
      </c>
      <c r="L34" s="2">
        <v>325.14999999999998</v>
      </c>
      <c r="M34" s="2">
        <v>325.17</v>
      </c>
      <c r="N34" s="2">
        <v>324.82</v>
      </c>
      <c r="O34" s="2">
        <v>325.58999999999997</v>
      </c>
      <c r="P34" s="2">
        <v>325.43</v>
      </c>
      <c r="Q34" s="2">
        <v>325.01</v>
      </c>
      <c r="R34" s="2">
        <v>324.8</v>
      </c>
      <c r="S34" s="2">
        <v>324.35000000000002</v>
      </c>
      <c r="T34" s="2">
        <v>324.92</v>
      </c>
      <c r="U34" s="2">
        <v>324.57</v>
      </c>
      <c r="V34" s="2">
        <v>324.04000000000002</v>
      </c>
      <c r="W34" s="2">
        <v>323.5</v>
      </c>
      <c r="X34" s="2">
        <v>323.27999999999997</v>
      </c>
      <c r="Y34" s="2">
        <v>323.91000000000003</v>
      </c>
      <c r="Z34" s="2">
        <v>326.62</v>
      </c>
      <c r="AA34" s="2">
        <v>326.79000000000002</v>
      </c>
      <c r="AB34" s="2">
        <v>328.71</v>
      </c>
      <c r="AC34" s="2">
        <v>325.60000000000002</v>
      </c>
      <c r="AD34" s="2">
        <v>327.58999999999997</v>
      </c>
      <c r="AE34" s="2">
        <v>328.13</v>
      </c>
      <c r="AF34" s="2">
        <v>330.36</v>
      </c>
      <c r="AG34" s="2">
        <v>327.73</v>
      </c>
      <c r="AH34" s="2">
        <v>327.14999999999998</v>
      </c>
      <c r="AI34" s="2">
        <v>327.18</v>
      </c>
      <c r="AJ34" s="2">
        <v>325.76</v>
      </c>
      <c r="AK34" s="2">
        <v>325.56</v>
      </c>
      <c r="AL34" s="2">
        <v>327.39</v>
      </c>
      <c r="AM34" s="2">
        <v>329.69</v>
      </c>
      <c r="AN34" s="2">
        <v>331.8</v>
      </c>
      <c r="AO34" s="2">
        <v>330.83</v>
      </c>
      <c r="AP34" s="2">
        <v>331.29</v>
      </c>
      <c r="AQ34" s="2">
        <v>330.8</v>
      </c>
      <c r="AR34" s="2">
        <v>330.99</v>
      </c>
      <c r="AS34" s="2">
        <v>330.48</v>
      </c>
      <c r="AT34" s="2">
        <v>331.4</v>
      </c>
      <c r="AU34" s="2">
        <v>331.65</v>
      </c>
      <c r="AV34" s="2">
        <v>329.55</v>
      </c>
      <c r="AW34" s="2">
        <v>330.26</v>
      </c>
      <c r="AX34" s="2">
        <v>324.39</v>
      </c>
      <c r="AY34" s="2">
        <v>327.20999999999998</v>
      </c>
      <c r="AZ34" s="2">
        <v>327.37</v>
      </c>
      <c r="BA34" s="2">
        <v>329.83</v>
      </c>
      <c r="BB34" s="2">
        <v>326.43</v>
      </c>
      <c r="BC34" s="2">
        <v>328.05</v>
      </c>
      <c r="BD34" s="2">
        <v>323.31</v>
      </c>
      <c r="BE34" s="2">
        <v>322.56</v>
      </c>
      <c r="BF34" s="2">
        <v>323.64</v>
      </c>
      <c r="BG34" s="2">
        <v>322.16000000000003</v>
      </c>
      <c r="BH34" s="2">
        <v>322.08</v>
      </c>
      <c r="BI34" s="2">
        <v>324.69</v>
      </c>
      <c r="BJ34" s="2">
        <v>323.94</v>
      </c>
      <c r="BK34" s="2">
        <v>324.89</v>
      </c>
      <c r="BL34" s="2">
        <v>327.05</v>
      </c>
      <c r="BM34" s="2">
        <v>327.98</v>
      </c>
      <c r="BN34" s="2">
        <v>329.89</v>
      </c>
      <c r="BO34" s="2">
        <v>332.41</v>
      </c>
      <c r="BP34" s="2">
        <v>330.68</v>
      </c>
      <c r="BQ34" s="2">
        <v>337.06</v>
      </c>
      <c r="BR34" s="2">
        <v>328.87</v>
      </c>
      <c r="BS34" s="2">
        <v>326.08999999999997</v>
      </c>
      <c r="BT34" s="2">
        <v>327.11</v>
      </c>
      <c r="BU34" s="2">
        <v>325.89999999999998</v>
      </c>
      <c r="BV34" s="2">
        <v>327.06</v>
      </c>
      <c r="BW34" s="2">
        <v>330.02</v>
      </c>
      <c r="BX34" s="2">
        <v>326.77999999999997</v>
      </c>
      <c r="BY34" s="2">
        <v>324.56</v>
      </c>
      <c r="BZ34" s="2">
        <v>325.8</v>
      </c>
      <c r="CA34" s="2">
        <v>323.94</v>
      </c>
      <c r="CB34" s="2">
        <v>324.85000000000002</v>
      </c>
      <c r="CC34" s="2">
        <v>322.43</v>
      </c>
      <c r="CD34" s="2">
        <v>325.43</v>
      </c>
      <c r="CE34" s="2">
        <v>323.54000000000002</v>
      </c>
      <c r="CF34" s="2">
        <v>322.79000000000002</v>
      </c>
      <c r="CG34" s="2">
        <v>325.35000000000002</v>
      </c>
      <c r="CH34" s="2">
        <v>325.49</v>
      </c>
      <c r="CI34" s="2">
        <v>323.2</v>
      </c>
      <c r="CJ34" s="2">
        <v>324.36</v>
      </c>
      <c r="CK34" s="2">
        <v>323.48</v>
      </c>
      <c r="CL34" s="2">
        <v>321.47000000000003</v>
      </c>
      <c r="CM34" s="2">
        <v>321.20999999999998</v>
      </c>
      <c r="CN34" s="2">
        <v>321.07</v>
      </c>
      <c r="CO34" s="2">
        <v>323.02</v>
      </c>
      <c r="CP34" s="2">
        <v>322.89</v>
      </c>
      <c r="CQ34" s="2">
        <v>321.94</v>
      </c>
      <c r="CR34" s="2">
        <v>321.57</v>
      </c>
      <c r="CS34" s="2">
        <v>320.74</v>
      </c>
      <c r="CT34" s="2">
        <v>323.07</v>
      </c>
      <c r="CU34" s="2">
        <v>323.85000000000002</v>
      </c>
      <c r="CV34" s="2">
        <v>322.02</v>
      </c>
      <c r="CW34" s="2">
        <v>321.75</v>
      </c>
      <c r="CX34" s="2">
        <v>321.63</v>
      </c>
      <c r="CY34" s="2">
        <v>321.08</v>
      </c>
      <c r="CZ34" s="2">
        <v>321.02</v>
      </c>
      <c r="DA34" s="2">
        <v>320.74</v>
      </c>
      <c r="DB34" s="2">
        <v>321.37</v>
      </c>
      <c r="DC34" s="2">
        <v>322.24</v>
      </c>
      <c r="DD34" s="2">
        <v>321.45</v>
      </c>
      <c r="DE34" s="2">
        <v>321.63</v>
      </c>
      <c r="DF34" s="2">
        <v>323.19</v>
      </c>
      <c r="DG34" s="2">
        <v>322.69</v>
      </c>
      <c r="DH34" s="2">
        <v>322.57</v>
      </c>
      <c r="DI34" s="2">
        <v>323.20999999999998</v>
      </c>
      <c r="DJ34" s="2">
        <v>323.25</v>
      </c>
      <c r="DK34" s="2">
        <v>323.27</v>
      </c>
      <c r="DL34" s="2">
        <v>324.16000000000003</v>
      </c>
      <c r="DM34" s="2">
        <v>325.95</v>
      </c>
      <c r="DN34" s="2">
        <v>326.76</v>
      </c>
      <c r="DO34" s="2">
        <v>327.52</v>
      </c>
      <c r="DP34" s="2">
        <v>327.81</v>
      </c>
      <c r="DQ34" s="2">
        <v>328.44</v>
      </c>
      <c r="DR34" s="2">
        <v>327.61</v>
      </c>
      <c r="DS34" s="2">
        <v>326.22000000000003</v>
      </c>
      <c r="DT34" s="2">
        <v>324.68</v>
      </c>
      <c r="DU34" s="2">
        <v>325.95</v>
      </c>
      <c r="DV34" s="2">
        <v>326.07</v>
      </c>
      <c r="DW34" s="2">
        <v>328.59</v>
      </c>
      <c r="DX34" s="2">
        <v>326.16000000000003</v>
      </c>
      <c r="DY34" s="2">
        <v>326</v>
      </c>
      <c r="DZ34" s="2">
        <v>327.13</v>
      </c>
      <c r="EA34" s="2">
        <v>326.82</v>
      </c>
      <c r="EB34" s="2">
        <v>328.02</v>
      </c>
      <c r="EC34" s="2">
        <v>328.49</v>
      </c>
      <c r="ED34" s="2">
        <v>326.92</v>
      </c>
      <c r="EE34" s="2">
        <v>326.89</v>
      </c>
      <c r="EF34" s="2">
        <v>327.93</v>
      </c>
      <c r="EG34" s="2">
        <v>328.57</v>
      </c>
      <c r="EH34" s="2">
        <v>328.89</v>
      </c>
      <c r="EI34" s="2">
        <v>328.08</v>
      </c>
      <c r="EJ34" s="2">
        <v>328.08</v>
      </c>
      <c r="EK34" s="2">
        <v>328.97</v>
      </c>
      <c r="EL34" s="2">
        <v>330.69</v>
      </c>
      <c r="EM34" s="2">
        <v>330.95</v>
      </c>
      <c r="EN34" s="2">
        <v>330.12</v>
      </c>
      <c r="EO34" s="2">
        <v>329.48</v>
      </c>
      <c r="EP34" s="2">
        <v>330.02</v>
      </c>
      <c r="EQ34" s="2">
        <v>329.56</v>
      </c>
      <c r="ER34" s="2">
        <v>329.29</v>
      </c>
      <c r="ES34" s="2">
        <v>328.45</v>
      </c>
      <c r="ET34" s="2">
        <v>329.56</v>
      </c>
      <c r="EU34" s="2">
        <v>329.13</v>
      </c>
      <c r="EV34" s="2">
        <v>329.7</v>
      </c>
      <c r="EW34" s="2">
        <v>329.63</v>
      </c>
      <c r="EX34" s="2">
        <v>329.42</v>
      </c>
      <c r="EY34" s="2">
        <v>329.67</v>
      </c>
      <c r="EZ34" s="2">
        <v>329.67</v>
      </c>
      <c r="FA34" s="2">
        <v>329.21</v>
      </c>
      <c r="FB34" s="2">
        <v>329.09</v>
      </c>
      <c r="FC34" s="2">
        <v>330.25</v>
      </c>
      <c r="FD34" s="2">
        <v>330.44</v>
      </c>
      <c r="FE34" s="2">
        <v>328.73</v>
      </c>
      <c r="FF34" s="2">
        <v>329.47</v>
      </c>
      <c r="FG34" s="2">
        <v>329.98</v>
      </c>
      <c r="FH34" s="2">
        <v>331.26</v>
      </c>
      <c r="FI34" s="2">
        <v>331.71</v>
      </c>
      <c r="FJ34" s="2">
        <v>331.98</v>
      </c>
      <c r="FK34" s="2">
        <v>331.33</v>
      </c>
      <c r="FL34" s="2">
        <v>332.2</v>
      </c>
      <c r="FM34" s="2">
        <v>334.38</v>
      </c>
      <c r="FN34" s="2">
        <v>332.67</v>
      </c>
      <c r="FO34" s="2">
        <v>333.42</v>
      </c>
      <c r="FP34" s="2">
        <v>334.17</v>
      </c>
      <c r="FQ34" s="2">
        <v>332.52</v>
      </c>
      <c r="FR34" s="2">
        <v>336.21</v>
      </c>
      <c r="FS34" s="2">
        <v>337.76</v>
      </c>
      <c r="FT34" s="2">
        <v>337.68</v>
      </c>
      <c r="FU34" s="2">
        <v>336.58</v>
      </c>
      <c r="FV34" s="2">
        <v>335.68</v>
      </c>
      <c r="FW34" s="2">
        <v>335.9</v>
      </c>
      <c r="FX34" s="2">
        <v>336.06</v>
      </c>
      <c r="FY34" s="2">
        <v>336.65</v>
      </c>
      <c r="FZ34" s="2">
        <v>338.09</v>
      </c>
      <c r="GA34" s="2">
        <v>339.58</v>
      </c>
      <c r="GB34" s="2">
        <v>340.07</v>
      </c>
      <c r="GC34" s="2">
        <v>340.26</v>
      </c>
      <c r="GD34" s="2">
        <v>341.7</v>
      </c>
      <c r="GE34" s="2">
        <v>342.13</v>
      </c>
      <c r="GF34" s="2">
        <v>338.86</v>
      </c>
      <c r="GG34" s="2">
        <v>340.83</v>
      </c>
      <c r="GH34" s="2">
        <v>340.28</v>
      </c>
      <c r="GI34" s="2">
        <v>342.51</v>
      </c>
      <c r="GJ34" s="2">
        <v>345.22</v>
      </c>
      <c r="GK34" s="2">
        <v>345.59</v>
      </c>
      <c r="GL34" s="2">
        <v>348.18</v>
      </c>
      <c r="GM34" s="2">
        <v>349.45</v>
      </c>
      <c r="GN34" s="2">
        <v>353.52</v>
      </c>
      <c r="GO34" s="2">
        <v>354.5</v>
      </c>
      <c r="GP34" s="2">
        <v>355.9</v>
      </c>
      <c r="GQ34" s="2">
        <v>352.93</v>
      </c>
      <c r="GR34" s="2">
        <v>351.4</v>
      </c>
      <c r="GS34" s="2">
        <v>351.87</v>
      </c>
      <c r="GT34" s="2">
        <v>353.01</v>
      </c>
      <c r="GU34" s="2">
        <v>353.28</v>
      </c>
      <c r="GV34" s="2">
        <v>354.78</v>
      </c>
      <c r="GW34" s="2">
        <v>355.79</v>
      </c>
      <c r="GX34" s="2">
        <v>356.39</v>
      </c>
      <c r="GY34" s="2">
        <v>353.65</v>
      </c>
      <c r="GZ34" s="2">
        <v>354.5</v>
      </c>
      <c r="HA34" s="2">
        <v>354.72</v>
      </c>
      <c r="HB34" s="2">
        <v>355.63</v>
      </c>
      <c r="HC34" s="2">
        <v>355.62</v>
      </c>
      <c r="HD34" s="2">
        <v>356.22</v>
      </c>
      <c r="HE34" s="2">
        <v>357.86</v>
      </c>
      <c r="HF34" s="2">
        <v>358.09</v>
      </c>
      <c r="HG34" s="2">
        <v>357.16</v>
      </c>
      <c r="HH34" s="2">
        <v>357.33</v>
      </c>
      <c r="HI34" s="2">
        <v>357.07</v>
      </c>
      <c r="HJ34" s="2">
        <v>357.54</v>
      </c>
      <c r="HK34" s="2">
        <v>359.1</v>
      </c>
      <c r="HL34" s="2">
        <v>360.2</v>
      </c>
      <c r="HM34" s="2">
        <v>360.4</v>
      </c>
      <c r="HN34" s="2">
        <v>361.65</v>
      </c>
      <c r="HO34" s="2">
        <v>361.7</v>
      </c>
      <c r="HP34" s="2">
        <v>362.47</v>
      </c>
      <c r="HQ34" s="2">
        <v>362.65</v>
      </c>
      <c r="HR34" s="2">
        <v>365.01</v>
      </c>
      <c r="HS34" s="2">
        <v>361.09</v>
      </c>
      <c r="HT34" s="2">
        <v>356.26</v>
      </c>
      <c r="HU34" s="2">
        <v>353.18</v>
      </c>
      <c r="HV34" s="2">
        <v>354.56</v>
      </c>
      <c r="HW34" s="2">
        <v>353.86</v>
      </c>
      <c r="HX34" s="2">
        <v>355.72</v>
      </c>
      <c r="HY34" s="2">
        <v>355.26</v>
      </c>
      <c r="HZ34" s="2">
        <v>357.23</v>
      </c>
      <c r="IA34" s="2">
        <v>356.9</v>
      </c>
      <c r="IB34" s="2">
        <v>356.78</v>
      </c>
      <c r="IC34" s="2">
        <v>357.36</v>
      </c>
      <c r="ID34" s="2">
        <v>360.39</v>
      </c>
      <c r="IE34" s="2">
        <v>362.98</v>
      </c>
      <c r="IF34" s="2">
        <v>365</v>
      </c>
      <c r="IG34" s="2">
        <v>362.49</v>
      </c>
      <c r="IH34" s="2">
        <v>363.15</v>
      </c>
      <c r="II34" s="2">
        <v>363.4</v>
      </c>
      <c r="IJ34" s="2">
        <v>364.29</v>
      </c>
      <c r="IK34" s="2">
        <v>363.92</v>
      </c>
      <c r="IL34" s="2">
        <v>363.47</v>
      </c>
      <c r="IM34" s="2">
        <v>366.3</v>
      </c>
      <c r="IN34" s="2">
        <v>363.84</v>
      </c>
      <c r="IO34" s="2">
        <v>366.55</v>
      </c>
      <c r="IP34" s="2">
        <v>364.53</v>
      </c>
      <c r="IQ34" s="2">
        <v>363.34</v>
      </c>
      <c r="IR34" s="2">
        <v>364.46</v>
      </c>
    </row>
    <row r="35" spans="1:252" ht="23.25" customHeight="1" x14ac:dyDescent="0.3">
      <c r="A35" s="4" t="s">
        <v>298</v>
      </c>
      <c r="B35" s="4">
        <v>34</v>
      </c>
      <c r="C35" s="4" t="s">
        <v>328</v>
      </c>
      <c r="D35" s="3" t="s">
        <v>300</v>
      </c>
      <c r="E35" s="3" t="s">
        <v>301</v>
      </c>
      <c r="F35" s="2">
        <v>24.88</v>
      </c>
      <c r="G35" s="2">
        <v>25.12</v>
      </c>
      <c r="H35" s="2">
        <v>25.18</v>
      </c>
      <c r="I35" s="2">
        <v>25.05</v>
      </c>
      <c r="J35" s="2">
        <v>24.92</v>
      </c>
      <c r="K35" s="2">
        <v>24.9</v>
      </c>
      <c r="L35" s="2">
        <v>25.01</v>
      </c>
      <c r="M35" s="2">
        <v>25</v>
      </c>
      <c r="N35" s="2">
        <v>24.95</v>
      </c>
      <c r="O35" s="2">
        <v>25.07</v>
      </c>
      <c r="P35" s="2">
        <v>25.01</v>
      </c>
      <c r="Q35" s="2">
        <v>24.84</v>
      </c>
      <c r="R35" s="2">
        <v>24.82</v>
      </c>
      <c r="S35" s="2">
        <v>24.78</v>
      </c>
      <c r="T35" s="2">
        <v>24.84</v>
      </c>
      <c r="U35" s="2">
        <v>24.76</v>
      </c>
      <c r="V35" s="2">
        <v>24.69</v>
      </c>
      <c r="W35" s="2">
        <v>24.71</v>
      </c>
      <c r="X35" s="2">
        <v>24.73</v>
      </c>
      <c r="Y35" s="2">
        <v>24.82</v>
      </c>
      <c r="Z35" s="2">
        <v>25.26</v>
      </c>
      <c r="AA35" s="2">
        <v>25.35</v>
      </c>
      <c r="AB35" s="2">
        <v>25.4</v>
      </c>
      <c r="AC35" s="2">
        <v>25.15</v>
      </c>
      <c r="AD35" s="2">
        <v>25.17</v>
      </c>
      <c r="AE35" s="2">
        <v>25.26</v>
      </c>
      <c r="AF35" s="2">
        <v>25.48</v>
      </c>
      <c r="AG35" s="2">
        <v>25.29</v>
      </c>
      <c r="AH35" s="2">
        <v>25.31</v>
      </c>
      <c r="AI35" s="2">
        <v>25.4</v>
      </c>
      <c r="AJ35" s="2">
        <v>25.27</v>
      </c>
      <c r="AK35" s="2">
        <v>25.26</v>
      </c>
      <c r="AL35" s="2">
        <v>25.38</v>
      </c>
      <c r="AM35" s="2">
        <v>25.51</v>
      </c>
      <c r="AN35" s="2">
        <v>25.58</v>
      </c>
      <c r="AO35" s="2">
        <v>25.59</v>
      </c>
      <c r="AP35" s="2">
        <v>25.52</v>
      </c>
      <c r="AQ35" s="2">
        <v>25.39</v>
      </c>
      <c r="AR35" s="2">
        <v>25.56</v>
      </c>
      <c r="AS35" s="2">
        <v>25.56</v>
      </c>
      <c r="AT35" s="2">
        <v>25.68</v>
      </c>
      <c r="AU35" s="2">
        <v>25.71</v>
      </c>
      <c r="AV35" s="2">
        <v>25.64</v>
      </c>
      <c r="AW35" s="2">
        <v>25.73</v>
      </c>
      <c r="AX35" s="2">
        <v>25.08</v>
      </c>
      <c r="AY35" s="2">
        <v>25.55</v>
      </c>
      <c r="AZ35" s="2">
        <v>25.54</v>
      </c>
      <c r="BA35" s="2">
        <v>25.85</v>
      </c>
      <c r="BB35" s="2">
        <v>25.44</v>
      </c>
      <c r="BC35" s="2">
        <v>25.42</v>
      </c>
      <c r="BD35" s="2">
        <v>25.01</v>
      </c>
      <c r="BE35" s="2">
        <v>25.09</v>
      </c>
      <c r="BF35" s="2">
        <v>25.2</v>
      </c>
      <c r="BG35" s="2">
        <v>25.04</v>
      </c>
      <c r="BH35" s="2">
        <v>25.09</v>
      </c>
      <c r="BI35" s="2">
        <v>25.06</v>
      </c>
      <c r="BJ35" s="2">
        <v>25.13</v>
      </c>
      <c r="BK35" s="2">
        <v>25.24</v>
      </c>
      <c r="BL35" s="2">
        <v>25.34</v>
      </c>
      <c r="BM35" s="2">
        <v>25.5</v>
      </c>
      <c r="BN35" s="2">
        <v>25.51</v>
      </c>
      <c r="BO35" s="2">
        <v>25.64</v>
      </c>
      <c r="BP35" s="2">
        <v>25.53</v>
      </c>
      <c r="BQ35" s="2">
        <v>25.74</v>
      </c>
      <c r="BR35" s="2">
        <v>25.15</v>
      </c>
      <c r="BS35" s="2">
        <v>25.09</v>
      </c>
      <c r="BT35" s="2">
        <v>25.36</v>
      </c>
      <c r="BU35" s="2">
        <v>25.17</v>
      </c>
      <c r="BV35" s="2">
        <v>25.36</v>
      </c>
      <c r="BW35" s="2">
        <v>25.34</v>
      </c>
      <c r="BX35" s="2">
        <v>25.11</v>
      </c>
      <c r="BY35" s="2">
        <v>24.98</v>
      </c>
      <c r="BZ35" s="2">
        <v>25.06</v>
      </c>
      <c r="CA35" s="2">
        <v>25.02</v>
      </c>
      <c r="CB35" s="2">
        <v>24.92</v>
      </c>
      <c r="CC35" s="2">
        <v>24.71</v>
      </c>
      <c r="CD35" s="2">
        <v>24.85</v>
      </c>
      <c r="CE35" s="2">
        <v>24.62</v>
      </c>
      <c r="CF35" s="2">
        <v>24.63</v>
      </c>
      <c r="CG35" s="2">
        <v>24.76</v>
      </c>
      <c r="CH35" s="2">
        <v>24.8</v>
      </c>
      <c r="CI35" s="2">
        <v>24.64</v>
      </c>
      <c r="CJ35" s="2">
        <v>24.72</v>
      </c>
      <c r="CK35" s="2">
        <v>24.65</v>
      </c>
      <c r="CL35" s="2">
        <v>24.37</v>
      </c>
      <c r="CM35" s="2">
        <v>24.36</v>
      </c>
      <c r="CN35" s="2">
        <v>24.38</v>
      </c>
      <c r="CO35" s="2">
        <v>24.53</v>
      </c>
      <c r="CP35" s="2">
        <v>24.45</v>
      </c>
      <c r="CQ35" s="2">
        <v>24.34</v>
      </c>
      <c r="CR35" s="2">
        <v>24.2</v>
      </c>
      <c r="CS35" s="2">
        <v>24.02</v>
      </c>
      <c r="CT35" s="2">
        <v>24.05</v>
      </c>
      <c r="CU35" s="2">
        <v>24.09</v>
      </c>
      <c r="CV35" s="2">
        <v>23.96</v>
      </c>
      <c r="CW35" s="2">
        <v>23.99</v>
      </c>
      <c r="CX35" s="2">
        <v>23.87</v>
      </c>
      <c r="CY35" s="2">
        <v>24</v>
      </c>
      <c r="CZ35" s="2">
        <v>23.98</v>
      </c>
      <c r="DA35" s="2">
        <v>23.97</v>
      </c>
      <c r="DB35" s="2">
        <v>24.03</v>
      </c>
      <c r="DC35" s="2">
        <v>24.02</v>
      </c>
      <c r="DD35" s="2">
        <v>24.13</v>
      </c>
      <c r="DE35" s="2">
        <v>24.1</v>
      </c>
      <c r="DF35" s="2">
        <v>24.17</v>
      </c>
      <c r="DG35" s="2">
        <v>24.15</v>
      </c>
      <c r="DH35" s="2">
        <v>24.19</v>
      </c>
      <c r="DI35" s="2">
        <v>24.3</v>
      </c>
      <c r="DJ35" s="2">
        <v>24.31</v>
      </c>
      <c r="DK35" s="2">
        <v>24.35</v>
      </c>
      <c r="DL35" s="2">
        <v>24.32</v>
      </c>
      <c r="DM35" s="2">
        <v>24.35</v>
      </c>
      <c r="DN35" s="2">
        <v>24.34</v>
      </c>
      <c r="DO35" s="2">
        <v>24.28</v>
      </c>
      <c r="DP35" s="2">
        <v>24.42</v>
      </c>
      <c r="DQ35" s="2">
        <v>24.38</v>
      </c>
      <c r="DR35" s="2">
        <v>24.34</v>
      </c>
      <c r="DS35" s="2">
        <v>24.3</v>
      </c>
      <c r="DT35" s="2">
        <v>24.11</v>
      </c>
      <c r="DU35" s="2">
        <v>24.07</v>
      </c>
      <c r="DV35" s="2">
        <v>24.14</v>
      </c>
      <c r="DW35" s="2">
        <v>24.28</v>
      </c>
      <c r="DX35" s="2">
        <v>23.91</v>
      </c>
      <c r="DY35" s="2">
        <v>23.83</v>
      </c>
      <c r="DZ35" s="2">
        <v>24.24</v>
      </c>
      <c r="EA35" s="2">
        <v>24.15</v>
      </c>
      <c r="EB35" s="2">
        <v>24.11</v>
      </c>
      <c r="EC35" s="2">
        <v>24.23</v>
      </c>
      <c r="ED35" s="2">
        <v>24.24</v>
      </c>
      <c r="EE35" s="2">
        <v>24.37</v>
      </c>
      <c r="EF35" s="2">
        <v>24.32</v>
      </c>
      <c r="EG35" s="2">
        <v>24.43</v>
      </c>
      <c r="EH35" s="2">
        <v>24.43</v>
      </c>
      <c r="EI35" s="2">
        <v>24.22</v>
      </c>
      <c r="EJ35" s="2">
        <v>24.3</v>
      </c>
      <c r="EK35" s="2">
        <v>24.31</v>
      </c>
      <c r="EL35" s="2">
        <v>24.47</v>
      </c>
      <c r="EM35" s="2">
        <v>24.45</v>
      </c>
      <c r="EN35" s="2">
        <v>24.72</v>
      </c>
      <c r="EO35" s="2">
        <v>24.44</v>
      </c>
      <c r="EP35" s="2">
        <v>24.42</v>
      </c>
      <c r="EQ35" s="2">
        <v>24.41</v>
      </c>
      <c r="ER35" s="2">
        <v>24.39</v>
      </c>
      <c r="ES35" s="2">
        <v>24.28</v>
      </c>
      <c r="ET35" s="2">
        <v>24.33</v>
      </c>
      <c r="EU35" s="2">
        <v>24.24</v>
      </c>
      <c r="EV35" s="2">
        <v>24.32</v>
      </c>
      <c r="EW35" s="2">
        <v>24.37</v>
      </c>
      <c r="EX35" s="2">
        <v>24.55</v>
      </c>
      <c r="EY35" s="2">
        <v>24.51</v>
      </c>
      <c r="EZ35" s="2">
        <v>24.32</v>
      </c>
      <c r="FA35" s="2">
        <v>24.31</v>
      </c>
      <c r="FB35" s="2">
        <v>24.31</v>
      </c>
      <c r="FC35" s="2">
        <v>24.31</v>
      </c>
      <c r="FD35" s="2">
        <v>24.33</v>
      </c>
      <c r="FE35" s="2">
        <v>24.3</v>
      </c>
      <c r="FF35" s="2">
        <v>24.32</v>
      </c>
      <c r="FG35" s="2">
        <v>24.21</v>
      </c>
      <c r="FH35" s="2">
        <v>24.43</v>
      </c>
      <c r="FI35" s="2">
        <v>24.48</v>
      </c>
      <c r="FJ35" s="2">
        <v>24.33</v>
      </c>
      <c r="FK35" s="2">
        <v>24.2</v>
      </c>
      <c r="FL35" s="2">
        <v>24.02</v>
      </c>
      <c r="FM35" s="2">
        <v>24.27</v>
      </c>
      <c r="FN35" s="2">
        <v>24.13</v>
      </c>
      <c r="FO35" s="2">
        <v>24.05</v>
      </c>
      <c r="FP35" s="2">
        <v>24.17</v>
      </c>
      <c r="FQ35" s="2">
        <v>23.99</v>
      </c>
      <c r="FR35" s="2">
        <v>24.37</v>
      </c>
      <c r="FS35" s="2">
        <v>24.52</v>
      </c>
      <c r="FT35" s="2">
        <v>24.53</v>
      </c>
      <c r="FU35" s="2">
        <v>24.5</v>
      </c>
      <c r="FV35" s="2">
        <v>24.47</v>
      </c>
      <c r="FW35" s="2">
        <v>24.41</v>
      </c>
      <c r="FX35" s="2">
        <v>24.42</v>
      </c>
      <c r="FY35" s="2">
        <v>24.45</v>
      </c>
      <c r="FZ35" s="2">
        <v>24.45</v>
      </c>
      <c r="GA35" s="2">
        <v>24.51</v>
      </c>
      <c r="GB35" s="2">
        <v>24.47</v>
      </c>
      <c r="GC35" s="2">
        <v>24.31</v>
      </c>
      <c r="GD35" s="2">
        <v>24.26</v>
      </c>
      <c r="GE35" s="2">
        <v>24.43</v>
      </c>
      <c r="GF35" s="2">
        <v>24.17</v>
      </c>
      <c r="GG35" s="2">
        <v>24.28</v>
      </c>
      <c r="GH35" s="2">
        <v>24.35</v>
      </c>
      <c r="GI35" s="2">
        <v>24.55</v>
      </c>
      <c r="GJ35" s="2">
        <v>24.63</v>
      </c>
      <c r="GK35" s="2">
        <v>24.5</v>
      </c>
      <c r="GL35" s="2">
        <v>24.66</v>
      </c>
      <c r="GM35" s="2">
        <v>24.67</v>
      </c>
      <c r="GN35" s="2">
        <v>24.81</v>
      </c>
      <c r="GO35" s="2">
        <v>24.8</v>
      </c>
      <c r="GP35" s="2">
        <v>24.93</v>
      </c>
      <c r="GQ35" s="2">
        <v>24.7</v>
      </c>
      <c r="GR35" s="2">
        <v>24.75</v>
      </c>
      <c r="GS35" s="2">
        <v>24.9</v>
      </c>
      <c r="GT35" s="2">
        <v>24.85</v>
      </c>
      <c r="GU35" s="2">
        <v>24.87</v>
      </c>
      <c r="GV35" s="2">
        <v>25.03</v>
      </c>
      <c r="GW35" s="2">
        <v>25.02</v>
      </c>
      <c r="GX35" s="2">
        <v>25.06</v>
      </c>
      <c r="GY35" s="2">
        <v>24.88</v>
      </c>
      <c r="GZ35" s="2">
        <v>24.91</v>
      </c>
      <c r="HA35" s="2">
        <v>25</v>
      </c>
      <c r="HB35" s="2">
        <v>25.15</v>
      </c>
      <c r="HC35" s="2">
        <v>25.06</v>
      </c>
      <c r="HD35" s="2">
        <v>24.89</v>
      </c>
      <c r="HE35" s="2">
        <v>24.89</v>
      </c>
      <c r="HF35" s="2">
        <v>24.96</v>
      </c>
      <c r="HG35" s="2">
        <v>24.86</v>
      </c>
      <c r="HH35" s="2">
        <v>24.81</v>
      </c>
      <c r="HI35" s="2">
        <v>24.86</v>
      </c>
      <c r="HJ35" s="2">
        <v>24.91</v>
      </c>
      <c r="HK35" s="2">
        <v>24.92</v>
      </c>
      <c r="HL35" s="2">
        <v>25</v>
      </c>
      <c r="HM35" s="2">
        <v>25.09</v>
      </c>
      <c r="HN35" s="2">
        <v>25.19</v>
      </c>
      <c r="HO35" s="2">
        <v>25.21</v>
      </c>
      <c r="HP35" s="2">
        <v>25.2</v>
      </c>
      <c r="HQ35" s="2">
        <v>25.17</v>
      </c>
      <c r="HR35" s="2">
        <v>25.22</v>
      </c>
      <c r="HS35" s="2">
        <v>24.84</v>
      </c>
      <c r="HT35" s="2">
        <v>24.55</v>
      </c>
      <c r="HU35" s="2">
        <v>24.38</v>
      </c>
      <c r="HV35" s="2">
        <v>24.38</v>
      </c>
      <c r="HW35" s="2">
        <v>24.36</v>
      </c>
      <c r="HX35" s="2">
        <v>24.51</v>
      </c>
      <c r="HY35" s="2">
        <v>24.5</v>
      </c>
      <c r="HZ35" s="2">
        <v>24.42</v>
      </c>
      <c r="IA35" s="2">
        <v>24.43</v>
      </c>
      <c r="IB35" s="2">
        <v>24.49</v>
      </c>
      <c r="IC35" s="2">
        <v>24.58</v>
      </c>
      <c r="ID35" s="2">
        <v>24.72</v>
      </c>
      <c r="IE35" s="2">
        <v>24.82</v>
      </c>
      <c r="IF35" s="2">
        <v>24.86</v>
      </c>
      <c r="IG35" s="2">
        <v>24.7</v>
      </c>
      <c r="IH35" s="2">
        <v>24.81</v>
      </c>
      <c r="II35" s="2">
        <v>24.79</v>
      </c>
      <c r="IJ35" s="2">
        <v>24.84</v>
      </c>
      <c r="IK35" s="2">
        <v>24.84</v>
      </c>
      <c r="IL35" s="2">
        <v>24.89</v>
      </c>
      <c r="IM35" s="2">
        <v>24.85</v>
      </c>
      <c r="IN35" s="2">
        <v>24.39</v>
      </c>
      <c r="IO35" s="2">
        <v>24.59</v>
      </c>
      <c r="IP35" s="2">
        <v>24.31</v>
      </c>
      <c r="IQ35" s="2">
        <v>24.19</v>
      </c>
      <c r="IR35" s="2">
        <v>24.39</v>
      </c>
    </row>
    <row r="36" spans="1:252" ht="23.25" customHeight="1" x14ac:dyDescent="0.3">
      <c r="A36" s="4" t="s">
        <v>298</v>
      </c>
      <c r="B36" s="4">
        <v>35</v>
      </c>
      <c r="C36" s="4" t="s">
        <v>329</v>
      </c>
      <c r="D36" s="3" t="s">
        <v>300</v>
      </c>
      <c r="E36" s="3" t="s">
        <v>301</v>
      </c>
      <c r="F36" s="2">
        <v>5.79</v>
      </c>
      <c r="G36" s="2">
        <v>5.81</v>
      </c>
      <c r="H36" s="2">
        <v>5.8</v>
      </c>
      <c r="I36" s="2">
        <v>5.76</v>
      </c>
      <c r="J36" s="2">
        <v>5.73</v>
      </c>
      <c r="K36" s="2">
        <v>5.72</v>
      </c>
      <c r="L36" s="2">
        <v>5.72</v>
      </c>
      <c r="M36" s="2">
        <v>5.69</v>
      </c>
      <c r="N36" s="2">
        <v>5.68</v>
      </c>
      <c r="O36" s="2">
        <v>5.7</v>
      </c>
      <c r="P36" s="2">
        <v>5.68</v>
      </c>
      <c r="Q36" s="2">
        <v>5.66</v>
      </c>
      <c r="R36" s="2">
        <v>5.66</v>
      </c>
      <c r="S36" s="2">
        <v>5.64</v>
      </c>
      <c r="T36" s="2">
        <v>5.64</v>
      </c>
      <c r="U36" s="2">
        <v>5.62</v>
      </c>
      <c r="V36" s="2">
        <v>5.61</v>
      </c>
      <c r="W36" s="2">
        <v>5.6</v>
      </c>
      <c r="X36" s="2">
        <v>5.61</v>
      </c>
      <c r="Y36" s="2">
        <v>5.64</v>
      </c>
      <c r="Z36" s="2">
        <v>5.7</v>
      </c>
      <c r="AA36" s="2">
        <v>5.71</v>
      </c>
      <c r="AB36" s="2">
        <v>5.71</v>
      </c>
      <c r="AC36" s="2">
        <v>5.65</v>
      </c>
      <c r="AD36" s="2">
        <v>5.67</v>
      </c>
      <c r="AE36" s="2">
        <v>5.69</v>
      </c>
      <c r="AF36" s="2">
        <v>5.72</v>
      </c>
      <c r="AG36" s="2">
        <v>5.7</v>
      </c>
      <c r="AH36" s="2">
        <v>5.69</v>
      </c>
      <c r="AI36" s="2">
        <v>5.7</v>
      </c>
      <c r="AJ36" s="2">
        <v>5.67</v>
      </c>
      <c r="AK36" s="2">
        <v>5.67</v>
      </c>
      <c r="AL36" s="2">
        <v>5.69</v>
      </c>
      <c r="AM36" s="2">
        <v>5.71</v>
      </c>
      <c r="AN36" s="2">
        <v>5.73</v>
      </c>
      <c r="AO36" s="2">
        <v>5.72</v>
      </c>
      <c r="AP36" s="2">
        <v>5.74</v>
      </c>
      <c r="AQ36" s="2">
        <v>5.73</v>
      </c>
      <c r="AR36" s="2">
        <v>5.74</v>
      </c>
      <c r="AS36" s="2">
        <v>5.73</v>
      </c>
      <c r="AT36" s="2">
        <v>5.75</v>
      </c>
      <c r="AU36" s="2">
        <v>5.74</v>
      </c>
      <c r="AV36" s="2">
        <v>5.73</v>
      </c>
      <c r="AW36" s="2">
        <v>5.68</v>
      </c>
      <c r="AX36" s="2">
        <v>5.58</v>
      </c>
      <c r="AY36" s="2">
        <v>5.68</v>
      </c>
      <c r="AZ36" s="2">
        <v>5.65</v>
      </c>
      <c r="BA36" s="2">
        <v>5.71</v>
      </c>
      <c r="BB36" s="2">
        <v>5.66</v>
      </c>
      <c r="BC36" s="2">
        <v>5.63</v>
      </c>
      <c r="BD36" s="2">
        <v>5.53</v>
      </c>
      <c r="BE36" s="2">
        <v>5.51</v>
      </c>
      <c r="BF36" s="2">
        <v>5.52</v>
      </c>
      <c r="BG36" s="2">
        <v>5.49</v>
      </c>
      <c r="BH36" s="2">
        <v>5.48</v>
      </c>
      <c r="BI36" s="2">
        <v>5.48</v>
      </c>
      <c r="BJ36" s="2">
        <v>5.48</v>
      </c>
      <c r="BK36" s="2">
        <v>5.49</v>
      </c>
      <c r="BL36" s="2">
        <v>5.49</v>
      </c>
      <c r="BM36" s="2">
        <v>5.51</v>
      </c>
      <c r="BN36" s="2">
        <v>5.54</v>
      </c>
      <c r="BO36" s="2">
        <v>5.53</v>
      </c>
      <c r="BP36" s="2">
        <v>5.49</v>
      </c>
      <c r="BQ36" s="2">
        <v>5.49</v>
      </c>
      <c r="BR36" s="2">
        <v>5.37</v>
      </c>
      <c r="BS36" s="2">
        <v>5.38</v>
      </c>
      <c r="BT36" s="2">
        <v>5.41</v>
      </c>
      <c r="BU36" s="2">
        <v>5.39</v>
      </c>
      <c r="BV36" s="2">
        <v>5.45</v>
      </c>
      <c r="BW36" s="2">
        <v>5.46</v>
      </c>
      <c r="BX36" s="2">
        <v>5.39</v>
      </c>
      <c r="BY36" s="2">
        <v>5.38</v>
      </c>
      <c r="BZ36" s="2">
        <v>5.39</v>
      </c>
      <c r="CA36" s="2">
        <v>5.36</v>
      </c>
      <c r="CB36" s="2">
        <v>5.34</v>
      </c>
      <c r="CC36" s="2">
        <v>5.31</v>
      </c>
      <c r="CD36" s="2">
        <v>5.31</v>
      </c>
      <c r="CE36" s="2">
        <v>5.27</v>
      </c>
      <c r="CF36" s="2">
        <v>5.28</v>
      </c>
      <c r="CG36" s="2">
        <v>5.29</v>
      </c>
      <c r="CH36" s="2">
        <v>5.31</v>
      </c>
      <c r="CI36" s="2">
        <v>5.29</v>
      </c>
      <c r="CJ36" s="2">
        <v>5.28</v>
      </c>
      <c r="CK36" s="2">
        <v>5.27</v>
      </c>
      <c r="CL36" s="2">
        <v>5.22</v>
      </c>
      <c r="CM36" s="2">
        <v>5.22</v>
      </c>
      <c r="CN36" s="2">
        <v>5.23</v>
      </c>
      <c r="CO36" s="2">
        <v>5.26</v>
      </c>
      <c r="CP36" s="2">
        <v>5.23</v>
      </c>
      <c r="CQ36" s="2">
        <v>5.24</v>
      </c>
      <c r="CR36" s="2">
        <v>5.23</v>
      </c>
      <c r="CS36" s="2">
        <v>5.22</v>
      </c>
      <c r="CT36" s="2">
        <v>5.26</v>
      </c>
      <c r="CU36" s="2">
        <v>5.28</v>
      </c>
      <c r="CV36" s="2">
        <v>5.24</v>
      </c>
      <c r="CW36" s="2">
        <v>5.27</v>
      </c>
      <c r="CX36" s="2">
        <v>5.22</v>
      </c>
      <c r="CY36" s="2">
        <v>5.2</v>
      </c>
      <c r="CZ36" s="2">
        <v>5.2</v>
      </c>
      <c r="DA36" s="2">
        <v>5.2</v>
      </c>
      <c r="DB36" s="2">
        <v>5.18</v>
      </c>
      <c r="DC36" s="2">
        <v>5.18</v>
      </c>
      <c r="DD36" s="2">
        <v>5.19</v>
      </c>
      <c r="DE36" s="2">
        <v>5.18</v>
      </c>
      <c r="DF36" s="2">
        <v>5.21</v>
      </c>
      <c r="DG36" s="2">
        <v>5.23</v>
      </c>
      <c r="DH36" s="2">
        <v>5.23</v>
      </c>
      <c r="DI36" s="2">
        <v>5.26</v>
      </c>
      <c r="DJ36" s="2">
        <v>5.26</v>
      </c>
      <c r="DK36" s="2">
        <v>5.26</v>
      </c>
      <c r="DL36" s="2">
        <v>5.28</v>
      </c>
      <c r="DM36" s="2">
        <v>5.29</v>
      </c>
      <c r="DN36" s="2">
        <v>5.3</v>
      </c>
      <c r="DO36" s="2">
        <v>5.32</v>
      </c>
      <c r="DP36" s="2">
        <v>5.32</v>
      </c>
      <c r="DQ36" s="2">
        <v>5.32</v>
      </c>
      <c r="DR36" s="2">
        <v>5.3</v>
      </c>
      <c r="DS36" s="2">
        <v>5.27</v>
      </c>
      <c r="DT36" s="2">
        <v>5.24</v>
      </c>
      <c r="DU36" s="2">
        <v>5.26</v>
      </c>
      <c r="DV36" s="2">
        <v>5.27</v>
      </c>
      <c r="DW36" s="2">
        <v>5.31</v>
      </c>
      <c r="DX36" s="2">
        <v>5.28</v>
      </c>
      <c r="DY36" s="2">
        <v>5.31</v>
      </c>
      <c r="DZ36" s="2">
        <v>5.34</v>
      </c>
      <c r="EA36" s="2">
        <v>5.29</v>
      </c>
      <c r="EB36" s="2">
        <v>5.28</v>
      </c>
      <c r="EC36" s="2">
        <v>5.3</v>
      </c>
      <c r="ED36" s="2">
        <v>5.28</v>
      </c>
      <c r="EE36" s="2">
        <v>5.29</v>
      </c>
      <c r="EF36" s="2">
        <v>5.29</v>
      </c>
      <c r="EG36" s="2">
        <v>5.29</v>
      </c>
      <c r="EH36" s="2">
        <v>5.26</v>
      </c>
      <c r="EI36" s="2">
        <v>5.26</v>
      </c>
      <c r="EJ36" s="2">
        <v>5.27</v>
      </c>
      <c r="EK36" s="2">
        <v>5.28</v>
      </c>
      <c r="EL36" s="2">
        <v>5.3</v>
      </c>
      <c r="EM36" s="2">
        <v>5.29</v>
      </c>
      <c r="EN36" s="2">
        <v>5.3</v>
      </c>
      <c r="EO36" s="2">
        <v>5.27</v>
      </c>
      <c r="EP36" s="2">
        <v>5.28</v>
      </c>
      <c r="EQ36" s="2">
        <v>5.29</v>
      </c>
      <c r="ER36" s="2">
        <v>5.26</v>
      </c>
      <c r="ES36" s="2">
        <v>5.27</v>
      </c>
      <c r="ET36" s="2">
        <v>5.29</v>
      </c>
      <c r="EU36" s="2">
        <v>5.28</v>
      </c>
      <c r="EV36" s="2">
        <v>5.28</v>
      </c>
      <c r="EW36" s="2">
        <v>5.28</v>
      </c>
      <c r="EX36" s="2">
        <v>5.27</v>
      </c>
      <c r="EY36" s="2">
        <v>5.26</v>
      </c>
      <c r="EZ36" s="2">
        <v>5.25</v>
      </c>
      <c r="FA36" s="2">
        <v>5.26</v>
      </c>
      <c r="FB36" s="2">
        <v>5.26</v>
      </c>
      <c r="FC36" s="2">
        <v>5.26</v>
      </c>
      <c r="FD36" s="2">
        <v>5.27</v>
      </c>
      <c r="FE36" s="2">
        <v>5.24</v>
      </c>
      <c r="FF36" s="2">
        <v>5.23</v>
      </c>
      <c r="FG36" s="2">
        <v>5.25</v>
      </c>
      <c r="FH36" s="2">
        <v>5.28</v>
      </c>
      <c r="FI36" s="2">
        <v>5.28</v>
      </c>
      <c r="FJ36" s="2">
        <v>5.28</v>
      </c>
      <c r="FK36" s="2">
        <v>5.28</v>
      </c>
      <c r="FL36" s="2">
        <v>5.3</v>
      </c>
      <c r="FM36" s="2">
        <v>5.34</v>
      </c>
      <c r="FN36" s="2">
        <v>5.31</v>
      </c>
      <c r="FO36" s="2">
        <v>5.31</v>
      </c>
      <c r="FP36" s="2">
        <v>5.32</v>
      </c>
      <c r="FQ36" s="2">
        <v>5.32</v>
      </c>
      <c r="FR36" s="2">
        <v>5.39</v>
      </c>
      <c r="FS36" s="2">
        <v>5.42</v>
      </c>
      <c r="FT36" s="2">
        <v>5.42</v>
      </c>
      <c r="FU36" s="2">
        <v>5.41</v>
      </c>
      <c r="FV36" s="2">
        <v>5.39</v>
      </c>
      <c r="FW36" s="2">
        <v>5.39</v>
      </c>
      <c r="FX36" s="2">
        <v>5.39</v>
      </c>
      <c r="FY36" s="2">
        <v>5.4</v>
      </c>
      <c r="FZ36" s="2">
        <v>5.43</v>
      </c>
      <c r="GA36" s="2">
        <v>5.46</v>
      </c>
      <c r="GB36" s="2">
        <v>5.46</v>
      </c>
      <c r="GC36" s="2">
        <v>5.45</v>
      </c>
      <c r="GD36" s="2">
        <v>5.45</v>
      </c>
      <c r="GE36" s="2">
        <v>5.44</v>
      </c>
      <c r="GF36" s="2">
        <v>5.41</v>
      </c>
      <c r="GG36" s="2">
        <v>5.42</v>
      </c>
      <c r="GH36" s="2">
        <v>5.43</v>
      </c>
      <c r="GI36" s="2">
        <v>5.46</v>
      </c>
      <c r="GJ36" s="2">
        <v>5.5</v>
      </c>
      <c r="GK36" s="2">
        <v>5.49</v>
      </c>
      <c r="GL36" s="2">
        <v>5.53</v>
      </c>
      <c r="GM36" s="2">
        <v>5.53</v>
      </c>
      <c r="GN36" s="2">
        <v>5.56</v>
      </c>
      <c r="GO36" s="2">
        <v>5.56</v>
      </c>
      <c r="GP36" s="2">
        <v>5.58</v>
      </c>
      <c r="GQ36" s="2">
        <v>5.54</v>
      </c>
      <c r="GR36" s="2">
        <v>5.53</v>
      </c>
      <c r="GS36" s="2">
        <v>5.55</v>
      </c>
      <c r="GT36" s="2">
        <v>5.55</v>
      </c>
      <c r="GU36" s="2">
        <v>5.57</v>
      </c>
      <c r="GV36" s="2">
        <v>5.59</v>
      </c>
      <c r="GW36" s="2">
        <v>5.59</v>
      </c>
      <c r="GX36" s="2">
        <v>5.59</v>
      </c>
      <c r="GY36" s="2">
        <v>5.55</v>
      </c>
      <c r="GZ36" s="2">
        <v>5.55</v>
      </c>
      <c r="HA36" s="2">
        <v>5.56</v>
      </c>
      <c r="HB36" s="2">
        <v>5.57</v>
      </c>
      <c r="HC36" s="2">
        <v>5.57</v>
      </c>
      <c r="HD36" s="2">
        <v>5.57</v>
      </c>
      <c r="HE36" s="2">
        <v>5.58</v>
      </c>
      <c r="HF36" s="2">
        <v>5.58</v>
      </c>
      <c r="HG36" s="2">
        <v>5.57</v>
      </c>
      <c r="HH36" s="2">
        <v>5.58</v>
      </c>
      <c r="HI36" s="2">
        <v>5.58</v>
      </c>
      <c r="HJ36" s="2">
        <v>5.58</v>
      </c>
      <c r="HK36" s="2">
        <v>5.6</v>
      </c>
      <c r="HL36" s="2">
        <v>5.6</v>
      </c>
      <c r="HM36" s="2">
        <v>5.59</v>
      </c>
      <c r="HN36" s="2">
        <v>5.61</v>
      </c>
      <c r="HO36" s="2">
        <v>5.61</v>
      </c>
      <c r="HP36" s="2">
        <v>5.62</v>
      </c>
      <c r="HQ36" s="2">
        <v>5.61</v>
      </c>
      <c r="HR36" s="2">
        <v>5.63</v>
      </c>
      <c r="HS36" s="2">
        <v>5.56</v>
      </c>
      <c r="HT36" s="2">
        <v>5.49</v>
      </c>
      <c r="HU36" s="2">
        <v>5.46</v>
      </c>
      <c r="HV36" s="2">
        <v>5.46</v>
      </c>
      <c r="HW36" s="2">
        <v>5.46</v>
      </c>
      <c r="HX36" s="2">
        <v>5.48</v>
      </c>
      <c r="HY36" s="2">
        <v>5.51</v>
      </c>
      <c r="HZ36" s="2">
        <v>5.5</v>
      </c>
      <c r="IA36" s="2">
        <v>5.51</v>
      </c>
      <c r="IB36" s="2">
        <v>5.52</v>
      </c>
      <c r="IC36" s="2">
        <v>5.54</v>
      </c>
      <c r="ID36" s="2">
        <v>5.57</v>
      </c>
      <c r="IE36" s="2">
        <v>5.6</v>
      </c>
      <c r="IF36" s="2">
        <v>5.62</v>
      </c>
      <c r="IG36" s="2">
        <v>5.59</v>
      </c>
      <c r="IH36" s="2">
        <v>5.61</v>
      </c>
      <c r="II36" s="2">
        <v>5.61</v>
      </c>
      <c r="IJ36" s="2">
        <v>5.62</v>
      </c>
      <c r="IK36" s="2">
        <v>5.61</v>
      </c>
      <c r="IL36" s="2">
        <v>5.59</v>
      </c>
      <c r="IM36" s="2">
        <v>5.59</v>
      </c>
      <c r="IN36" s="2">
        <v>5.51</v>
      </c>
      <c r="IO36" s="2">
        <v>5.54</v>
      </c>
      <c r="IP36" s="2">
        <v>5.48</v>
      </c>
      <c r="IQ36" s="2">
        <v>5.49</v>
      </c>
      <c r="IR36" s="2">
        <v>5.54</v>
      </c>
    </row>
    <row r="37" spans="1:252" ht="23.25" customHeight="1" x14ac:dyDescent="0.3">
      <c r="A37" s="4" t="s">
        <v>298</v>
      </c>
      <c r="B37" s="4">
        <v>36</v>
      </c>
      <c r="C37" s="4" t="s">
        <v>330</v>
      </c>
      <c r="D37" s="3" t="s">
        <v>300</v>
      </c>
      <c r="E37" s="3" t="s">
        <v>301</v>
      </c>
      <c r="F37" s="2">
        <v>1062.56</v>
      </c>
      <c r="G37" s="2">
        <v>1080.93</v>
      </c>
      <c r="H37" s="2">
        <v>1079.99</v>
      </c>
      <c r="I37" s="2">
        <v>1075.3900000000001</v>
      </c>
      <c r="J37" s="2">
        <v>1071.53</v>
      </c>
      <c r="K37" s="2">
        <v>1066.54</v>
      </c>
      <c r="L37" s="2">
        <v>1072.18</v>
      </c>
      <c r="M37" s="2">
        <v>1074.44</v>
      </c>
      <c r="N37" s="2">
        <v>1073.57</v>
      </c>
      <c r="O37" s="2">
        <v>1079.68</v>
      </c>
      <c r="P37" s="2">
        <v>1077.45</v>
      </c>
      <c r="Q37" s="2">
        <v>1074.33</v>
      </c>
      <c r="R37" s="2">
        <v>1075.73</v>
      </c>
      <c r="S37" s="2">
        <v>1073.1500000000001</v>
      </c>
      <c r="T37" s="2">
        <v>1079.8599999999999</v>
      </c>
      <c r="U37" s="2">
        <v>1073.3900000000001</v>
      </c>
      <c r="V37" s="2">
        <v>1067.08</v>
      </c>
      <c r="W37" s="2">
        <v>1070.8399999999999</v>
      </c>
      <c r="X37" s="2">
        <v>1069.94</v>
      </c>
      <c r="Y37" s="2">
        <v>1067.79</v>
      </c>
      <c r="Z37" s="2">
        <v>1083.17</v>
      </c>
      <c r="AA37" s="2">
        <v>1091.04</v>
      </c>
      <c r="AB37" s="2">
        <v>1094.2</v>
      </c>
      <c r="AC37" s="2">
        <v>1081.92</v>
      </c>
      <c r="AD37" s="2">
        <v>1087.53</v>
      </c>
      <c r="AE37" s="2">
        <v>1088.49</v>
      </c>
      <c r="AF37" s="2">
        <v>1095.75</v>
      </c>
      <c r="AG37" s="2">
        <v>1089.8399999999999</v>
      </c>
      <c r="AH37" s="2">
        <v>1086.79</v>
      </c>
      <c r="AI37" s="2">
        <v>1091.17</v>
      </c>
      <c r="AJ37" s="2">
        <v>1088.52</v>
      </c>
      <c r="AK37" s="2">
        <v>1087.31</v>
      </c>
      <c r="AL37" s="2">
        <v>1091.75</v>
      </c>
      <c r="AM37" s="2">
        <v>1093.1199999999999</v>
      </c>
      <c r="AN37" s="2">
        <v>1097.9000000000001</v>
      </c>
      <c r="AO37" s="2">
        <v>1095.8499999999999</v>
      </c>
      <c r="AP37" s="2">
        <v>1099.6300000000001</v>
      </c>
      <c r="AQ37" s="2">
        <v>1092.33</v>
      </c>
      <c r="AR37" s="2">
        <v>1095.04</v>
      </c>
      <c r="AS37" s="2">
        <v>1092.32</v>
      </c>
      <c r="AT37" s="2">
        <v>1094.5999999999999</v>
      </c>
      <c r="AU37" s="2">
        <v>1094.93</v>
      </c>
      <c r="AV37" s="2">
        <v>1087.94</v>
      </c>
      <c r="AW37" s="2">
        <v>1098.8399999999999</v>
      </c>
      <c r="AX37" s="2">
        <v>1069.75</v>
      </c>
      <c r="AY37" s="2">
        <v>1083.76</v>
      </c>
      <c r="AZ37" s="2">
        <v>1086.26</v>
      </c>
      <c r="BA37" s="2">
        <v>1105.07</v>
      </c>
      <c r="BB37" s="2">
        <v>1096.4100000000001</v>
      </c>
      <c r="BC37" s="2">
        <v>1099.05</v>
      </c>
      <c r="BD37" s="2">
        <v>1084.6500000000001</v>
      </c>
      <c r="BE37" s="2">
        <v>1079.24</v>
      </c>
      <c r="BF37" s="2">
        <v>1089.29</v>
      </c>
      <c r="BG37" s="2">
        <v>1082.57</v>
      </c>
      <c r="BH37" s="2">
        <v>1085.78</v>
      </c>
      <c r="BI37" s="2">
        <v>1087.32</v>
      </c>
      <c r="BJ37" s="2">
        <v>1082.57</v>
      </c>
      <c r="BK37" s="2">
        <v>1084.25</v>
      </c>
      <c r="BL37" s="2">
        <v>1090.5899999999999</v>
      </c>
      <c r="BM37" s="2">
        <v>1090.78</v>
      </c>
      <c r="BN37" s="2">
        <v>1099.25</v>
      </c>
      <c r="BO37" s="2">
        <v>1099.3900000000001</v>
      </c>
      <c r="BP37" s="2">
        <v>1088.1199999999999</v>
      </c>
      <c r="BQ37" s="2">
        <v>1106.79</v>
      </c>
      <c r="BR37" s="2">
        <v>1077.02</v>
      </c>
      <c r="BS37" s="2">
        <v>1073.3900000000001</v>
      </c>
      <c r="BT37" s="2">
        <v>1083.3599999999999</v>
      </c>
      <c r="BU37" s="2">
        <v>1071.8699999999999</v>
      </c>
      <c r="BV37" s="2">
        <v>1086.42</v>
      </c>
      <c r="BW37" s="2">
        <v>1088.2</v>
      </c>
      <c r="BX37" s="2">
        <v>1079.3599999999999</v>
      </c>
      <c r="BY37" s="2">
        <v>1073.8599999999999</v>
      </c>
      <c r="BZ37" s="2">
        <v>1079.3699999999999</v>
      </c>
      <c r="CA37" s="2">
        <v>1075.4100000000001</v>
      </c>
      <c r="CB37" s="2">
        <v>1075.19</v>
      </c>
      <c r="CC37" s="2">
        <v>1066.83</v>
      </c>
      <c r="CD37" s="2">
        <v>1071.93</v>
      </c>
      <c r="CE37" s="2">
        <v>1063.21</v>
      </c>
      <c r="CF37" s="2">
        <v>1061.8499999999999</v>
      </c>
      <c r="CG37" s="2">
        <v>1065.71</v>
      </c>
      <c r="CH37" s="2">
        <v>1073.52</v>
      </c>
      <c r="CI37" s="2">
        <v>1067.3</v>
      </c>
      <c r="CJ37" s="2">
        <v>1067.74</v>
      </c>
      <c r="CK37" s="2">
        <v>1068.4000000000001</v>
      </c>
      <c r="CL37" s="2">
        <v>1053.82</v>
      </c>
      <c r="CM37" s="2">
        <v>1056.6099999999999</v>
      </c>
      <c r="CN37" s="2">
        <v>1057.18</v>
      </c>
      <c r="CO37" s="2">
        <v>1066</v>
      </c>
      <c r="CP37" s="2">
        <v>1065.81</v>
      </c>
      <c r="CQ37" s="2">
        <v>1065.6500000000001</v>
      </c>
      <c r="CR37" s="2">
        <v>1064.94</v>
      </c>
      <c r="CS37" s="2">
        <v>1058.29</v>
      </c>
      <c r="CT37" s="2">
        <v>1068.3900000000001</v>
      </c>
      <c r="CU37" s="2">
        <v>1072.7</v>
      </c>
      <c r="CV37" s="2">
        <v>1062.54</v>
      </c>
      <c r="CW37" s="2">
        <v>1076.96</v>
      </c>
      <c r="CX37" s="2">
        <v>1066.3599999999999</v>
      </c>
      <c r="CY37" s="2">
        <v>1064.95</v>
      </c>
      <c r="CZ37" s="2">
        <v>1064.78</v>
      </c>
      <c r="DA37" s="2">
        <v>1063.3399999999999</v>
      </c>
      <c r="DB37" s="2">
        <v>1065.03</v>
      </c>
      <c r="DC37" s="2">
        <v>1062.6500000000001</v>
      </c>
      <c r="DD37" s="2">
        <v>1067.9100000000001</v>
      </c>
      <c r="DE37" s="2">
        <v>1065.18</v>
      </c>
      <c r="DF37" s="2">
        <v>1070.5899999999999</v>
      </c>
      <c r="DG37" s="2">
        <v>1068.45</v>
      </c>
      <c r="DH37" s="2">
        <v>1069.08</v>
      </c>
      <c r="DI37" s="2">
        <v>1073.3699999999999</v>
      </c>
      <c r="DJ37" s="2">
        <v>1073.3699999999999</v>
      </c>
      <c r="DK37" s="2">
        <v>1072.94</v>
      </c>
      <c r="DL37" s="2">
        <v>1074.81</v>
      </c>
      <c r="DM37" s="2">
        <v>1075.8599999999999</v>
      </c>
      <c r="DN37" s="2">
        <v>1081.31</v>
      </c>
      <c r="DO37" s="2">
        <v>1082.1199999999999</v>
      </c>
      <c r="DP37" s="2">
        <v>1082.9000000000001</v>
      </c>
      <c r="DQ37" s="2">
        <v>1086.5</v>
      </c>
      <c r="DR37" s="2">
        <v>1084.3599999999999</v>
      </c>
      <c r="DS37" s="2">
        <v>1080.5</v>
      </c>
      <c r="DT37" s="2">
        <v>1071.22</v>
      </c>
      <c r="DU37" s="2">
        <v>1074.33</v>
      </c>
      <c r="DV37" s="2">
        <v>1072.53</v>
      </c>
      <c r="DW37" s="2">
        <v>1080.24</v>
      </c>
      <c r="DX37" s="2">
        <v>1067.01</v>
      </c>
      <c r="DY37" s="2">
        <v>1071.3900000000001</v>
      </c>
      <c r="DZ37" s="2">
        <v>1085.3599999999999</v>
      </c>
      <c r="EA37" s="2">
        <v>1076.1500000000001</v>
      </c>
      <c r="EB37" s="2">
        <v>1077.1300000000001</v>
      </c>
      <c r="EC37" s="2">
        <v>1081.2</v>
      </c>
      <c r="ED37" s="2">
        <v>1079.1300000000001</v>
      </c>
      <c r="EE37" s="2">
        <v>1078.22</v>
      </c>
      <c r="EF37" s="2">
        <v>1078.75</v>
      </c>
      <c r="EG37" s="2">
        <v>1083.47</v>
      </c>
      <c r="EH37" s="2">
        <v>1081.18</v>
      </c>
      <c r="EI37" s="2">
        <v>1077.74</v>
      </c>
      <c r="EJ37" s="2">
        <v>1078.31</v>
      </c>
      <c r="EK37" s="2">
        <v>1081.08</v>
      </c>
      <c r="EL37" s="2">
        <v>1087.17</v>
      </c>
      <c r="EM37" s="2">
        <v>1084.77</v>
      </c>
      <c r="EN37" s="2">
        <v>1088.53</v>
      </c>
      <c r="EO37" s="2">
        <v>1077.8699999999999</v>
      </c>
      <c r="EP37" s="2">
        <v>1082.31</v>
      </c>
      <c r="EQ37" s="2">
        <v>1085.73</v>
      </c>
      <c r="ER37" s="2">
        <v>1082.56</v>
      </c>
      <c r="ES37" s="2">
        <v>1080.8499999999999</v>
      </c>
      <c r="ET37" s="2">
        <v>1084.42</v>
      </c>
      <c r="EU37" s="2">
        <v>1080.0999999999999</v>
      </c>
      <c r="EV37" s="2">
        <v>1082.06</v>
      </c>
      <c r="EW37" s="2">
        <v>1080.03</v>
      </c>
      <c r="EX37" s="2">
        <v>1082.23</v>
      </c>
      <c r="EY37" s="2">
        <v>1083.79</v>
      </c>
      <c r="EZ37" s="2">
        <v>1080.8699999999999</v>
      </c>
      <c r="FA37" s="2">
        <v>1082.4100000000001</v>
      </c>
      <c r="FB37" s="2">
        <v>1084.1099999999999</v>
      </c>
      <c r="FC37" s="2">
        <v>1082.43</v>
      </c>
      <c r="FD37" s="2">
        <v>1085.25</v>
      </c>
      <c r="FE37" s="2">
        <v>1083.31</v>
      </c>
      <c r="FF37" s="2">
        <v>1080.02</v>
      </c>
      <c r="FG37" s="2">
        <v>1080.28</v>
      </c>
      <c r="FH37" s="2">
        <v>1084.6400000000001</v>
      </c>
      <c r="FI37" s="2">
        <v>1087.4100000000001</v>
      </c>
      <c r="FJ37" s="2">
        <v>1086.1099999999999</v>
      </c>
      <c r="FK37" s="2">
        <v>1082.53</v>
      </c>
      <c r="FL37" s="2">
        <v>1082.1400000000001</v>
      </c>
      <c r="FM37" s="2">
        <v>1092.6099999999999</v>
      </c>
      <c r="FN37" s="2">
        <v>1087.0999999999999</v>
      </c>
      <c r="FO37" s="2">
        <v>1088.22</v>
      </c>
      <c r="FP37" s="2">
        <v>1091.95</v>
      </c>
      <c r="FQ37" s="2">
        <v>1078.68</v>
      </c>
      <c r="FR37" s="2">
        <v>1095.18</v>
      </c>
      <c r="FS37" s="2">
        <v>1099.03</v>
      </c>
      <c r="FT37" s="2">
        <v>1100.17</v>
      </c>
      <c r="FU37" s="2">
        <v>1099.54</v>
      </c>
      <c r="FV37" s="2">
        <v>1097.48</v>
      </c>
      <c r="FW37" s="2">
        <v>1095.72</v>
      </c>
      <c r="FX37" s="2">
        <v>1097.78</v>
      </c>
      <c r="FY37" s="2">
        <v>1096.5</v>
      </c>
      <c r="FZ37" s="2">
        <v>1102.03</v>
      </c>
      <c r="GA37" s="2">
        <v>1106.31</v>
      </c>
      <c r="GB37" s="2">
        <v>1106.18</v>
      </c>
      <c r="GC37" s="2">
        <v>1105.07</v>
      </c>
      <c r="GD37" s="2">
        <v>1108.42</v>
      </c>
      <c r="GE37" s="2">
        <v>1104.69</v>
      </c>
      <c r="GF37" s="2">
        <v>1094.6400000000001</v>
      </c>
      <c r="GG37" s="2">
        <v>1096.95</v>
      </c>
      <c r="GH37" s="2">
        <v>1095.31</v>
      </c>
      <c r="GI37" s="2">
        <v>1099.2</v>
      </c>
      <c r="GJ37" s="2">
        <v>1107.33</v>
      </c>
      <c r="GK37" s="2">
        <v>1108.29</v>
      </c>
      <c r="GL37" s="2">
        <v>1116.83</v>
      </c>
      <c r="GM37" s="2">
        <v>1115.9100000000001</v>
      </c>
      <c r="GN37" s="2">
        <v>1124.76</v>
      </c>
      <c r="GO37" s="2">
        <v>1126.53</v>
      </c>
      <c r="GP37" s="2">
        <v>1129.69</v>
      </c>
      <c r="GQ37" s="2">
        <v>1123.3499999999999</v>
      </c>
      <c r="GR37" s="2">
        <v>1119.53</v>
      </c>
      <c r="GS37" s="2">
        <v>1125.52</v>
      </c>
      <c r="GT37" s="2">
        <v>1121.4000000000001</v>
      </c>
      <c r="GU37" s="2">
        <v>1122.6300000000001</v>
      </c>
      <c r="GV37" s="2">
        <v>1126.07</v>
      </c>
      <c r="GW37" s="2">
        <v>1129.29</v>
      </c>
      <c r="GX37" s="2">
        <v>1132.3699999999999</v>
      </c>
      <c r="GY37" s="2">
        <v>1127.54</v>
      </c>
      <c r="GZ37" s="2">
        <v>1129.5899999999999</v>
      </c>
      <c r="HA37" s="2">
        <v>1131.23</v>
      </c>
      <c r="HB37" s="2">
        <v>1133.8699999999999</v>
      </c>
      <c r="HC37" s="2">
        <v>1133.5999999999999</v>
      </c>
      <c r="HD37" s="2">
        <v>1135.23</v>
      </c>
      <c r="HE37" s="2">
        <v>1135.42</v>
      </c>
      <c r="HF37" s="2">
        <v>1135.92</v>
      </c>
      <c r="HG37" s="2">
        <v>1132.18</v>
      </c>
      <c r="HH37" s="2">
        <v>1133.78</v>
      </c>
      <c r="HI37" s="2">
        <v>1137.3800000000001</v>
      </c>
      <c r="HJ37" s="2">
        <v>1138</v>
      </c>
      <c r="HK37" s="2">
        <v>1139.57</v>
      </c>
      <c r="HL37" s="2">
        <v>1143.51</v>
      </c>
      <c r="HM37" s="2">
        <v>1142.19</v>
      </c>
      <c r="HN37" s="2">
        <v>1145.23</v>
      </c>
      <c r="HO37" s="2">
        <v>1145.25</v>
      </c>
      <c r="HP37" s="2">
        <v>1143.28</v>
      </c>
      <c r="HQ37" s="2">
        <v>1147.81</v>
      </c>
      <c r="HR37" s="2">
        <v>1154.3499999999999</v>
      </c>
      <c r="HS37" s="2">
        <v>1138.07</v>
      </c>
      <c r="HT37" s="2">
        <v>1122.4100000000001</v>
      </c>
      <c r="HU37" s="2">
        <v>1115.75</v>
      </c>
      <c r="HV37" s="2">
        <v>1117.52</v>
      </c>
      <c r="HW37" s="2">
        <v>1115.79</v>
      </c>
      <c r="HX37" s="2">
        <v>1120.77</v>
      </c>
      <c r="HY37" s="2">
        <v>1127.8</v>
      </c>
      <c r="HZ37" s="2">
        <v>1128.75</v>
      </c>
      <c r="IA37" s="2">
        <v>1129.0999999999999</v>
      </c>
      <c r="IB37" s="2">
        <v>1127.72</v>
      </c>
      <c r="IC37" s="2">
        <v>1130.8599999999999</v>
      </c>
      <c r="ID37" s="2">
        <v>1139.07</v>
      </c>
      <c r="IE37" s="2">
        <v>1142.8599999999999</v>
      </c>
      <c r="IF37" s="2">
        <v>1147.6600000000001</v>
      </c>
      <c r="IG37" s="2">
        <v>1141.1199999999999</v>
      </c>
      <c r="IH37" s="2">
        <v>1143.31</v>
      </c>
      <c r="II37" s="2">
        <v>1146.73</v>
      </c>
      <c r="IJ37" s="2">
        <v>1150.45</v>
      </c>
      <c r="IK37" s="2">
        <v>1146.46</v>
      </c>
      <c r="IL37" s="2">
        <v>1146.6099999999999</v>
      </c>
      <c r="IM37" s="2">
        <v>1155.23</v>
      </c>
      <c r="IN37" s="2">
        <v>1136.33</v>
      </c>
      <c r="IO37" s="2">
        <v>1149.57</v>
      </c>
      <c r="IP37" s="2">
        <v>1131.6099999999999</v>
      </c>
      <c r="IQ37" s="2">
        <v>1128.96</v>
      </c>
      <c r="IR37" s="2">
        <v>1128.02</v>
      </c>
    </row>
    <row r="38" spans="1:252" ht="23.25" customHeight="1" x14ac:dyDescent="0.3">
      <c r="A38" s="4" t="s">
        <v>298</v>
      </c>
      <c r="B38" s="4">
        <v>37</v>
      </c>
      <c r="C38" s="4" t="s">
        <v>331</v>
      </c>
      <c r="D38" s="3" t="s">
        <v>300</v>
      </c>
      <c r="E38" s="3" t="s">
        <v>301</v>
      </c>
      <c r="F38" s="2">
        <v>16.79</v>
      </c>
      <c r="G38" s="2">
        <v>16.89</v>
      </c>
      <c r="H38" s="2">
        <v>16.78</v>
      </c>
      <c r="I38" s="2">
        <v>16.600000000000001</v>
      </c>
      <c r="J38" s="2">
        <v>16.52</v>
      </c>
      <c r="K38" s="2">
        <v>16.510000000000002</v>
      </c>
      <c r="L38" s="2">
        <v>16.62</v>
      </c>
      <c r="M38" s="2">
        <v>16.739999999999998</v>
      </c>
      <c r="N38" s="2">
        <v>16.71</v>
      </c>
      <c r="O38" s="2">
        <v>16.73</v>
      </c>
      <c r="P38" s="2">
        <v>16.66</v>
      </c>
      <c r="Q38" s="2">
        <v>16.59</v>
      </c>
      <c r="R38" s="2">
        <v>16.62</v>
      </c>
      <c r="S38" s="2">
        <v>16.579999999999998</v>
      </c>
      <c r="T38" s="2">
        <v>16.62</v>
      </c>
      <c r="U38" s="2">
        <v>16.559999999999999</v>
      </c>
      <c r="V38" s="2">
        <v>16.489999999999998</v>
      </c>
      <c r="W38" s="2">
        <v>16.420000000000002</v>
      </c>
      <c r="X38" s="2">
        <v>16.43</v>
      </c>
      <c r="Y38" s="2">
        <v>16.48</v>
      </c>
      <c r="Z38" s="2">
        <v>16.71</v>
      </c>
      <c r="AA38" s="2">
        <v>16.72</v>
      </c>
      <c r="AB38" s="2">
        <v>16.760000000000002</v>
      </c>
      <c r="AC38" s="2">
        <v>16.559999999999999</v>
      </c>
      <c r="AD38" s="2">
        <v>16.600000000000001</v>
      </c>
      <c r="AE38" s="2">
        <v>16.62</v>
      </c>
      <c r="AF38" s="2">
        <v>16.73</v>
      </c>
      <c r="AG38" s="2">
        <v>16.66</v>
      </c>
      <c r="AH38" s="2">
        <v>16.7</v>
      </c>
      <c r="AI38" s="2">
        <v>16.73</v>
      </c>
      <c r="AJ38" s="2">
        <v>16.7</v>
      </c>
      <c r="AK38" s="2">
        <v>16.72</v>
      </c>
      <c r="AL38" s="2">
        <v>16.82</v>
      </c>
      <c r="AM38" s="2">
        <v>16.899999999999999</v>
      </c>
      <c r="AN38" s="2">
        <v>17.059999999999999</v>
      </c>
      <c r="AO38" s="2">
        <v>17.14</v>
      </c>
      <c r="AP38" s="2">
        <v>17.170000000000002</v>
      </c>
      <c r="AQ38" s="2">
        <v>17.11</v>
      </c>
      <c r="AR38" s="2">
        <v>17.12</v>
      </c>
      <c r="AS38" s="2">
        <v>17.14</v>
      </c>
      <c r="AT38" s="2">
        <v>17.21</v>
      </c>
      <c r="AU38" s="2">
        <v>17.190000000000001</v>
      </c>
      <c r="AV38" s="2">
        <v>17.170000000000002</v>
      </c>
      <c r="AW38" s="2">
        <v>17.2</v>
      </c>
      <c r="AX38" s="2">
        <v>16.829999999999998</v>
      </c>
      <c r="AY38" s="2">
        <v>17.07</v>
      </c>
      <c r="AZ38" s="2">
        <v>17.05</v>
      </c>
      <c r="BA38" s="2">
        <v>17.11</v>
      </c>
      <c r="BB38" s="2">
        <v>16.920000000000002</v>
      </c>
      <c r="BC38" s="2">
        <v>16.829999999999998</v>
      </c>
      <c r="BD38" s="2">
        <v>16.59</v>
      </c>
      <c r="BE38" s="2">
        <v>16.61</v>
      </c>
      <c r="BF38" s="2">
        <v>16.670000000000002</v>
      </c>
      <c r="BG38" s="2">
        <v>16.63</v>
      </c>
      <c r="BH38" s="2">
        <v>16.63</v>
      </c>
      <c r="BI38" s="2">
        <v>16.66</v>
      </c>
      <c r="BJ38" s="2">
        <v>16.7</v>
      </c>
      <c r="BK38" s="2">
        <v>16.71</v>
      </c>
      <c r="BL38" s="2">
        <v>16.760000000000002</v>
      </c>
      <c r="BM38" s="2">
        <v>16.8</v>
      </c>
      <c r="BN38" s="2">
        <v>16.899999999999999</v>
      </c>
      <c r="BO38" s="2">
        <v>16.89</v>
      </c>
      <c r="BP38" s="2">
        <v>16.87</v>
      </c>
      <c r="BQ38" s="2">
        <v>16.920000000000002</v>
      </c>
      <c r="BR38" s="2">
        <v>16.46</v>
      </c>
      <c r="BS38" s="2">
        <v>16.32</v>
      </c>
      <c r="BT38" s="2">
        <v>16.46</v>
      </c>
      <c r="BU38" s="2">
        <v>16.5</v>
      </c>
      <c r="BV38" s="2">
        <v>16.579999999999998</v>
      </c>
      <c r="BW38" s="2">
        <v>16.579999999999998</v>
      </c>
      <c r="BX38" s="2">
        <v>16.38</v>
      </c>
      <c r="BY38" s="2">
        <v>16.309999999999999</v>
      </c>
      <c r="BZ38" s="2">
        <v>16.37</v>
      </c>
      <c r="CA38" s="2">
        <v>16.28</v>
      </c>
      <c r="CB38" s="2">
        <v>16.2</v>
      </c>
      <c r="CC38" s="2">
        <v>16.03</v>
      </c>
      <c r="CD38" s="2">
        <v>16.16</v>
      </c>
      <c r="CE38" s="2">
        <v>16.04</v>
      </c>
      <c r="CF38" s="2">
        <v>16.04</v>
      </c>
      <c r="CG38" s="2">
        <v>16.09</v>
      </c>
      <c r="CH38" s="2">
        <v>16.170000000000002</v>
      </c>
      <c r="CI38" s="2">
        <v>16.09</v>
      </c>
      <c r="CJ38" s="2">
        <v>16.059999999999999</v>
      </c>
      <c r="CK38" s="2">
        <v>16</v>
      </c>
      <c r="CL38" s="2">
        <v>15.84</v>
      </c>
      <c r="CM38" s="2">
        <v>15.86</v>
      </c>
      <c r="CN38" s="2">
        <v>15.89</v>
      </c>
      <c r="CO38" s="2">
        <v>16.010000000000002</v>
      </c>
      <c r="CP38" s="2">
        <v>15.93</v>
      </c>
      <c r="CQ38" s="2">
        <v>15.87</v>
      </c>
      <c r="CR38" s="2">
        <v>15.88</v>
      </c>
      <c r="CS38" s="2">
        <v>15.78</v>
      </c>
      <c r="CT38" s="2">
        <v>15.89</v>
      </c>
      <c r="CU38" s="2">
        <v>15.89</v>
      </c>
      <c r="CV38" s="2">
        <v>15.82</v>
      </c>
      <c r="CW38" s="2">
        <v>15.96</v>
      </c>
      <c r="CX38" s="2">
        <v>15.88</v>
      </c>
      <c r="CY38" s="2">
        <v>15.82</v>
      </c>
      <c r="CZ38" s="2">
        <v>15.85</v>
      </c>
      <c r="DA38" s="2">
        <v>15.87</v>
      </c>
      <c r="DB38" s="2">
        <v>15.79</v>
      </c>
      <c r="DC38" s="2">
        <v>15.8</v>
      </c>
      <c r="DD38" s="2">
        <v>15.88</v>
      </c>
      <c r="DE38" s="2">
        <v>15.9</v>
      </c>
      <c r="DF38" s="2">
        <v>15.96</v>
      </c>
      <c r="DG38" s="2">
        <v>15.94</v>
      </c>
      <c r="DH38" s="2">
        <v>15.95</v>
      </c>
      <c r="DI38" s="2">
        <v>16.03</v>
      </c>
      <c r="DJ38" s="2">
        <v>16.010000000000002</v>
      </c>
      <c r="DK38" s="2">
        <v>16.02</v>
      </c>
      <c r="DL38" s="2">
        <v>16.03</v>
      </c>
      <c r="DM38" s="2">
        <v>16.079999999999998</v>
      </c>
      <c r="DN38" s="2">
        <v>16.149999999999999</v>
      </c>
      <c r="DO38" s="2">
        <v>16.170000000000002</v>
      </c>
      <c r="DP38" s="2">
        <v>16.16</v>
      </c>
      <c r="DQ38" s="2">
        <v>16.14</v>
      </c>
      <c r="DR38" s="2">
        <v>16.059999999999999</v>
      </c>
      <c r="DS38" s="2">
        <v>15.97</v>
      </c>
      <c r="DT38" s="2">
        <v>15.85</v>
      </c>
      <c r="DU38" s="2">
        <v>15.91</v>
      </c>
      <c r="DV38" s="2">
        <v>15.91</v>
      </c>
      <c r="DW38" s="2">
        <v>15.97</v>
      </c>
      <c r="DX38" s="2">
        <v>15.77</v>
      </c>
      <c r="DY38" s="2">
        <v>15.89</v>
      </c>
      <c r="DZ38" s="2">
        <v>16.04</v>
      </c>
      <c r="EA38" s="2">
        <v>15.79</v>
      </c>
      <c r="EB38" s="2">
        <v>15.79</v>
      </c>
      <c r="EC38" s="2">
        <v>15.84</v>
      </c>
      <c r="ED38" s="2">
        <v>15.83</v>
      </c>
      <c r="EE38" s="2">
        <v>15.84</v>
      </c>
      <c r="EF38" s="2">
        <v>15.84</v>
      </c>
      <c r="EG38" s="2">
        <v>15.87</v>
      </c>
      <c r="EH38" s="2">
        <v>15.82</v>
      </c>
      <c r="EI38" s="2">
        <v>15.79</v>
      </c>
      <c r="EJ38" s="2">
        <v>15.87</v>
      </c>
      <c r="EK38" s="2">
        <v>15.96</v>
      </c>
      <c r="EL38" s="2">
        <v>16.059999999999999</v>
      </c>
      <c r="EM38" s="2">
        <v>16.02</v>
      </c>
      <c r="EN38" s="2">
        <v>15.98</v>
      </c>
      <c r="EO38" s="2">
        <v>15.82</v>
      </c>
      <c r="EP38" s="2">
        <v>15.88</v>
      </c>
      <c r="EQ38" s="2">
        <v>15.92</v>
      </c>
      <c r="ER38" s="2">
        <v>15.85</v>
      </c>
      <c r="ES38" s="2">
        <v>15.74</v>
      </c>
      <c r="ET38" s="2">
        <v>15.82</v>
      </c>
      <c r="EU38" s="2">
        <v>15.82</v>
      </c>
      <c r="EV38" s="2">
        <v>15.83</v>
      </c>
      <c r="EW38" s="2">
        <v>15.79</v>
      </c>
      <c r="EX38" s="2">
        <v>15.78</v>
      </c>
      <c r="EY38" s="2">
        <v>15.8</v>
      </c>
      <c r="EZ38" s="2">
        <v>15.72</v>
      </c>
      <c r="FA38" s="2">
        <v>15.76</v>
      </c>
      <c r="FB38" s="2">
        <v>15.74</v>
      </c>
      <c r="FC38" s="2">
        <v>15.73</v>
      </c>
      <c r="FD38" s="2">
        <v>15.77</v>
      </c>
      <c r="FE38" s="2">
        <v>15.73</v>
      </c>
      <c r="FF38" s="2">
        <v>15.73</v>
      </c>
      <c r="FG38" s="2">
        <v>15.7</v>
      </c>
      <c r="FH38" s="2">
        <v>15.82</v>
      </c>
      <c r="FI38" s="2">
        <v>15.79</v>
      </c>
      <c r="FJ38" s="2">
        <v>15.69</v>
      </c>
      <c r="FK38" s="2">
        <v>15.71</v>
      </c>
      <c r="FL38" s="2">
        <v>15.78</v>
      </c>
      <c r="FM38" s="2">
        <v>15.92</v>
      </c>
      <c r="FN38" s="2">
        <v>15.81</v>
      </c>
      <c r="FO38" s="2">
        <v>15.79</v>
      </c>
      <c r="FP38" s="2">
        <v>15.85</v>
      </c>
      <c r="FQ38" s="2">
        <v>15.78</v>
      </c>
      <c r="FR38" s="2">
        <v>16</v>
      </c>
      <c r="FS38" s="2">
        <v>16.100000000000001</v>
      </c>
      <c r="FT38" s="2">
        <v>16.09</v>
      </c>
      <c r="FU38" s="2">
        <v>16.22</v>
      </c>
      <c r="FV38" s="2">
        <v>16.13</v>
      </c>
      <c r="FW38" s="2">
        <v>16.13</v>
      </c>
      <c r="FX38" s="2">
        <v>16.16</v>
      </c>
      <c r="FY38" s="2">
        <v>16.170000000000002</v>
      </c>
      <c r="FZ38" s="2">
        <v>16.3</v>
      </c>
      <c r="GA38" s="2">
        <v>16.37</v>
      </c>
      <c r="GB38" s="2">
        <v>16.350000000000001</v>
      </c>
      <c r="GC38" s="2">
        <v>16.239999999999998</v>
      </c>
      <c r="GD38" s="2">
        <v>16.260000000000002</v>
      </c>
      <c r="GE38" s="2">
        <v>16.21</v>
      </c>
      <c r="GF38" s="2">
        <v>16.059999999999999</v>
      </c>
      <c r="GG38" s="2">
        <v>16.079999999999998</v>
      </c>
      <c r="GH38" s="2">
        <v>16.11</v>
      </c>
      <c r="GI38" s="2">
        <v>16.2</v>
      </c>
      <c r="GJ38" s="2">
        <v>16.34</v>
      </c>
      <c r="GK38" s="2">
        <v>16.3</v>
      </c>
      <c r="GL38" s="2">
        <v>16.399999999999999</v>
      </c>
      <c r="GM38" s="2">
        <v>16.39</v>
      </c>
      <c r="GN38" s="2">
        <v>16.54</v>
      </c>
      <c r="GO38" s="2">
        <v>16.55</v>
      </c>
      <c r="GP38" s="2">
        <v>16.55</v>
      </c>
      <c r="GQ38" s="2">
        <v>16.45</v>
      </c>
      <c r="GR38" s="2">
        <v>16.45</v>
      </c>
      <c r="GS38" s="2">
        <v>16.55</v>
      </c>
      <c r="GT38" s="2">
        <v>16.559999999999999</v>
      </c>
      <c r="GU38" s="2">
        <v>16.559999999999999</v>
      </c>
      <c r="GV38" s="2">
        <v>16.43</v>
      </c>
      <c r="GW38" s="2">
        <v>16.53</v>
      </c>
      <c r="GX38" s="2">
        <v>16.53</v>
      </c>
      <c r="GY38" s="2">
        <v>16.41</v>
      </c>
      <c r="GZ38" s="2">
        <v>16.39</v>
      </c>
      <c r="HA38" s="2">
        <v>16.399999999999999</v>
      </c>
      <c r="HB38" s="2">
        <v>16.39</v>
      </c>
      <c r="HC38" s="2">
        <v>16.34</v>
      </c>
      <c r="HD38" s="2">
        <v>16.29</v>
      </c>
      <c r="HE38" s="2">
        <v>16.38</v>
      </c>
      <c r="HF38" s="2">
        <v>16.37</v>
      </c>
      <c r="HG38" s="2">
        <v>16.3</v>
      </c>
      <c r="HH38" s="2">
        <v>16.350000000000001</v>
      </c>
      <c r="HI38" s="2">
        <v>16.38</v>
      </c>
      <c r="HJ38" s="2">
        <v>16.28</v>
      </c>
      <c r="HK38" s="2">
        <v>16.260000000000002</v>
      </c>
      <c r="HL38" s="2">
        <v>16.239999999999998</v>
      </c>
      <c r="HM38" s="2">
        <v>16.190000000000001</v>
      </c>
      <c r="HN38" s="2">
        <v>16.350000000000001</v>
      </c>
      <c r="HO38" s="2">
        <v>16.36</v>
      </c>
      <c r="HP38" s="2">
        <v>16.5</v>
      </c>
      <c r="HQ38" s="2">
        <v>16.5</v>
      </c>
      <c r="HR38" s="2">
        <v>16.59</v>
      </c>
      <c r="HS38" s="2">
        <v>16.28</v>
      </c>
      <c r="HT38" s="2">
        <v>16.059999999999999</v>
      </c>
      <c r="HU38" s="2">
        <v>15.95</v>
      </c>
      <c r="HV38" s="2">
        <v>15.98</v>
      </c>
      <c r="HW38" s="2">
        <v>15.95</v>
      </c>
      <c r="HX38" s="2">
        <v>16.02</v>
      </c>
      <c r="HY38" s="2">
        <v>16.03</v>
      </c>
      <c r="HZ38" s="2">
        <v>16.03</v>
      </c>
      <c r="IA38" s="2">
        <v>16.12</v>
      </c>
      <c r="IB38" s="2">
        <v>16.12</v>
      </c>
      <c r="IC38" s="2">
        <v>16.13</v>
      </c>
      <c r="ID38" s="2">
        <v>16.239999999999998</v>
      </c>
      <c r="IE38" s="2">
        <v>16.309999999999999</v>
      </c>
      <c r="IF38" s="2">
        <v>16.37</v>
      </c>
      <c r="IG38" s="2">
        <v>16.260000000000002</v>
      </c>
      <c r="IH38" s="2">
        <v>16.239999999999998</v>
      </c>
      <c r="II38" s="2">
        <v>16.21</v>
      </c>
      <c r="IJ38" s="2">
        <v>16.21</v>
      </c>
      <c r="IK38" s="2">
        <v>16.09</v>
      </c>
      <c r="IL38" s="2">
        <v>16.04</v>
      </c>
      <c r="IM38" s="2">
        <v>16</v>
      </c>
      <c r="IN38" s="2">
        <v>15.73</v>
      </c>
      <c r="IO38" s="2">
        <v>15.83</v>
      </c>
      <c r="IP38" s="2">
        <v>15.52</v>
      </c>
      <c r="IQ38" s="2">
        <v>15.55</v>
      </c>
      <c r="IR38" s="2">
        <v>15.67</v>
      </c>
    </row>
    <row r="39" spans="1:252" ht="23.25" customHeight="1" x14ac:dyDescent="0.3">
      <c r="A39" s="4" t="s">
        <v>298</v>
      </c>
      <c r="B39" s="4">
        <v>38</v>
      </c>
      <c r="C39" s="4" t="s">
        <v>332</v>
      </c>
      <c r="D39" s="3" t="s">
        <v>300</v>
      </c>
      <c r="E39" s="3" t="s">
        <v>301</v>
      </c>
      <c r="F39" s="2">
        <v>5.21</v>
      </c>
      <c r="G39" s="2">
        <v>5.26</v>
      </c>
      <c r="H39" s="2">
        <v>5.24</v>
      </c>
      <c r="I39" s="2">
        <v>5.2</v>
      </c>
      <c r="J39" s="2">
        <v>5.19</v>
      </c>
      <c r="K39" s="2">
        <v>5.19</v>
      </c>
      <c r="L39" s="2">
        <v>5.21</v>
      </c>
      <c r="M39" s="2">
        <v>5.21</v>
      </c>
      <c r="N39" s="2">
        <v>5.21</v>
      </c>
      <c r="O39" s="2">
        <v>5.2</v>
      </c>
      <c r="P39" s="2">
        <v>5.17</v>
      </c>
      <c r="Q39" s="2">
        <v>5.16</v>
      </c>
      <c r="R39" s="2">
        <v>5.17</v>
      </c>
      <c r="S39" s="2">
        <v>5.15</v>
      </c>
      <c r="T39" s="2">
        <v>5.15</v>
      </c>
      <c r="U39" s="2">
        <v>5.13</v>
      </c>
      <c r="V39" s="2">
        <v>5.1100000000000003</v>
      </c>
      <c r="W39" s="2">
        <v>5.12</v>
      </c>
      <c r="X39" s="2">
        <v>5.12</v>
      </c>
      <c r="Y39" s="2">
        <v>5.15</v>
      </c>
      <c r="Z39" s="2">
        <v>5.22</v>
      </c>
      <c r="AA39" s="2">
        <v>5.22</v>
      </c>
      <c r="AB39" s="2">
        <v>5.21</v>
      </c>
      <c r="AC39" s="2">
        <v>5.15</v>
      </c>
      <c r="AD39" s="2">
        <v>5.16</v>
      </c>
      <c r="AE39" s="2">
        <v>5.18</v>
      </c>
      <c r="AF39" s="2">
        <v>5.21</v>
      </c>
      <c r="AG39" s="2">
        <v>5.18</v>
      </c>
      <c r="AH39" s="2">
        <v>5.19</v>
      </c>
      <c r="AI39" s="2">
        <v>5.19</v>
      </c>
      <c r="AJ39" s="2">
        <v>5.17</v>
      </c>
      <c r="AK39" s="2">
        <v>5.16</v>
      </c>
      <c r="AL39" s="2">
        <v>5.18</v>
      </c>
      <c r="AM39" s="2">
        <v>5.21</v>
      </c>
      <c r="AN39" s="2">
        <v>5.23</v>
      </c>
      <c r="AO39" s="2">
        <v>5.24</v>
      </c>
      <c r="AP39" s="2">
        <v>5.24</v>
      </c>
      <c r="AQ39" s="2">
        <v>5.23</v>
      </c>
      <c r="AR39" s="2">
        <v>5.23</v>
      </c>
      <c r="AS39" s="2">
        <v>5.23</v>
      </c>
      <c r="AT39" s="2">
        <v>5.25</v>
      </c>
      <c r="AU39" s="2">
        <v>5.25</v>
      </c>
      <c r="AV39" s="2">
        <v>5.24</v>
      </c>
      <c r="AW39" s="2">
        <v>5.23</v>
      </c>
      <c r="AX39" s="2">
        <v>5.13</v>
      </c>
      <c r="AY39" s="2">
        <v>5.22</v>
      </c>
      <c r="AZ39" s="2">
        <v>5.24</v>
      </c>
      <c r="BA39" s="2">
        <v>5.28</v>
      </c>
      <c r="BB39" s="2">
        <v>5.2</v>
      </c>
      <c r="BC39" s="2">
        <v>5.17</v>
      </c>
      <c r="BD39" s="2">
        <v>5.09</v>
      </c>
      <c r="BE39" s="2">
        <v>5.07</v>
      </c>
      <c r="BF39" s="2">
        <v>5.09</v>
      </c>
      <c r="BG39" s="2">
        <v>5.0599999999999996</v>
      </c>
      <c r="BH39" s="2">
        <v>5.07</v>
      </c>
      <c r="BI39" s="2">
        <v>5.0599999999999996</v>
      </c>
      <c r="BJ39" s="2">
        <v>5.07</v>
      </c>
      <c r="BK39" s="2">
        <v>5.08</v>
      </c>
      <c r="BL39" s="2">
        <v>5.07</v>
      </c>
      <c r="BM39" s="2">
        <v>5.1100000000000003</v>
      </c>
      <c r="BN39" s="2">
        <v>5.12</v>
      </c>
      <c r="BO39" s="2">
        <v>5.12</v>
      </c>
      <c r="BP39" s="2">
        <v>5.08</v>
      </c>
      <c r="BQ39" s="2">
        <v>5.07</v>
      </c>
      <c r="BR39" s="2">
        <v>4.96</v>
      </c>
      <c r="BS39" s="2">
        <v>4.95</v>
      </c>
      <c r="BT39" s="2">
        <v>5</v>
      </c>
      <c r="BU39" s="2">
        <v>4.9800000000000004</v>
      </c>
      <c r="BV39" s="2">
        <v>5.0199999999999996</v>
      </c>
      <c r="BW39" s="2">
        <v>5.03</v>
      </c>
      <c r="BX39" s="2">
        <v>4.97</v>
      </c>
      <c r="BY39" s="2">
        <v>4.95</v>
      </c>
      <c r="BZ39" s="2">
        <v>4.96</v>
      </c>
      <c r="CA39" s="2">
        <v>4.9400000000000004</v>
      </c>
      <c r="CB39" s="2">
        <v>4.92</v>
      </c>
      <c r="CC39" s="2">
        <v>4.8899999999999997</v>
      </c>
      <c r="CD39" s="2">
        <v>4.87</v>
      </c>
      <c r="CE39" s="2">
        <v>4.84</v>
      </c>
      <c r="CF39" s="2">
        <v>4.84</v>
      </c>
      <c r="CG39" s="2">
        <v>4.8600000000000003</v>
      </c>
      <c r="CH39" s="2">
        <v>4.9000000000000004</v>
      </c>
      <c r="CI39" s="2">
        <v>4.88</v>
      </c>
      <c r="CJ39" s="2">
        <v>4.8600000000000003</v>
      </c>
      <c r="CK39" s="2">
        <v>4.87</v>
      </c>
      <c r="CL39" s="2">
        <v>4.82</v>
      </c>
      <c r="CM39" s="2">
        <v>4.82</v>
      </c>
      <c r="CN39" s="2">
        <v>4.82</v>
      </c>
      <c r="CO39" s="2">
        <v>4.8499999999999996</v>
      </c>
      <c r="CP39" s="2">
        <v>4.83</v>
      </c>
      <c r="CQ39" s="2">
        <v>4.83</v>
      </c>
      <c r="CR39" s="2">
        <v>4.8099999999999996</v>
      </c>
      <c r="CS39" s="2">
        <v>4.8099999999999996</v>
      </c>
      <c r="CT39" s="2">
        <v>4.84</v>
      </c>
      <c r="CU39" s="2">
        <v>4.87</v>
      </c>
      <c r="CV39" s="2">
        <v>4.83</v>
      </c>
      <c r="CW39" s="2">
        <v>4.87</v>
      </c>
      <c r="CX39" s="2">
        <v>4.8099999999999996</v>
      </c>
      <c r="CY39" s="2">
        <v>4.8</v>
      </c>
      <c r="CZ39" s="2">
        <v>4.79</v>
      </c>
      <c r="DA39" s="2">
        <v>4.78</v>
      </c>
      <c r="DB39" s="2">
        <v>4.7699999999999996</v>
      </c>
      <c r="DC39" s="2">
        <v>4.7699999999999996</v>
      </c>
      <c r="DD39" s="2">
        <v>4.79</v>
      </c>
      <c r="DE39" s="2">
        <v>4.79</v>
      </c>
      <c r="DF39" s="2">
        <v>4.8099999999999996</v>
      </c>
      <c r="DG39" s="2">
        <v>4.82</v>
      </c>
      <c r="DH39" s="2">
        <v>4.8099999999999996</v>
      </c>
      <c r="DI39" s="2">
        <v>4.84</v>
      </c>
      <c r="DJ39" s="2">
        <v>4.83</v>
      </c>
      <c r="DK39" s="2">
        <v>4.83</v>
      </c>
      <c r="DL39" s="2">
        <v>4.84</v>
      </c>
      <c r="DM39" s="2">
        <v>4.8600000000000003</v>
      </c>
      <c r="DN39" s="2">
        <v>4.87</v>
      </c>
      <c r="DO39" s="2">
        <v>4.88</v>
      </c>
      <c r="DP39" s="2">
        <v>4.88</v>
      </c>
      <c r="DQ39" s="2">
        <v>4.88</v>
      </c>
      <c r="DR39" s="2">
        <v>4.87</v>
      </c>
      <c r="DS39" s="2">
        <v>4.84</v>
      </c>
      <c r="DT39" s="2">
        <v>4.8</v>
      </c>
      <c r="DU39" s="2">
        <v>4.8600000000000003</v>
      </c>
      <c r="DV39" s="2">
        <v>4.87</v>
      </c>
      <c r="DW39" s="2">
        <v>4.92</v>
      </c>
      <c r="DX39" s="2">
        <v>4.87</v>
      </c>
      <c r="DY39" s="2">
        <v>4.9000000000000004</v>
      </c>
      <c r="DZ39" s="2">
        <v>4.93</v>
      </c>
      <c r="EA39" s="2">
        <v>4.88</v>
      </c>
      <c r="EB39" s="2">
        <v>4.8899999999999997</v>
      </c>
      <c r="EC39" s="2">
        <v>4.8899999999999997</v>
      </c>
      <c r="ED39" s="2">
        <v>4.88</v>
      </c>
      <c r="EE39" s="2">
        <v>4.88</v>
      </c>
      <c r="EF39" s="2">
        <v>4.8899999999999997</v>
      </c>
      <c r="EG39" s="2">
        <v>4.9000000000000004</v>
      </c>
      <c r="EH39" s="2">
        <v>4.88</v>
      </c>
      <c r="EI39" s="2">
        <v>4.87</v>
      </c>
      <c r="EJ39" s="2">
        <v>4.88</v>
      </c>
      <c r="EK39" s="2">
        <v>4.9000000000000004</v>
      </c>
      <c r="EL39" s="2">
        <v>4.93</v>
      </c>
      <c r="EM39" s="2">
        <v>4.93</v>
      </c>
      <c r="EN39" s="2">
        <v>4.92</v>
      </c>
      <c r="EO39" s="2">
        <v>4.8899999999999997</v>
      </c>
      <c r="EP39" s="2">
        <v>4.9000000000000004</v>
      </c>
      <c r="EQ39" s="2">
        <v>4.92</v>
      </c>
      <c r="ER39" s="2">
        <v>4.8899999999999997</v>
      </c>
      <c r="ES39" s="2">
        <v>4.8899999999999997</v>
      </c>
      <c r="ET39" s="2">
        <v>4.91</v>
      </c>
      <c r="EU39" s="2">
        <v>4.91</v>
      </c>
      <c r="EV39" s="2">
        <v>4.91</v>
      </c>
      <c r="EW39" s="2">
        <v>4.91</v>
      </c>
      <c r="EX39" s="2">
        <v>4.91</v>
      </c>
      <c r="EY39" s="2">
        <v>4.9000000000000004</v>
      </c>
      <c r="EZ39" s="2">
        <v>4.88</v>
      </c>
      <c r="FA39" s="2">
        <v>4.8899999999999997</v>
      </c>
      <c r="FB39" s="2">
        <v>4.8899999999999997</v>
      </c>
      <c r="FC39" s="2">
        <v>4.8899999999999997</v>
      </c>
      <c r="FD39" s="2">
        <v>4.9000000000000004</v>
      </c>
      <c r="FE39" s="2">
        <v>4.87</v>
      </c>
      <c r="FF39" s="2">
        <v>4.8600000000000003</v>
      </c>
      <c r="FG39" s="2">
        <v>4.88</v>
      </c>
      <c r="FH39" s="2">
        <v>4.91</v>
      </c>
      <c r="FI39" s="2">
        <v>4.91</v>
      </c>
      <c r="FJ39" s="2">
        <v>4.92</v>
      </c>
      <c r="FK39" s="2">
        <v>4.92</v>
      </c>
      <c r="FL39" s="2">
        <v>4.9400000000000004</v>
      </c>
      <c r="FM39" s="2">
        <v>4.9800000000000004</v>
      </c>
      <c r="FN39" s="2">
        <v>4.95</v>
      </c>
      <c r="FO39" s="2">
        <v>4.95</v>
      </c>
      <c r="FP39" s="2">
        <v>4.96</v>
      </c>
      <c r="FQ39" s="2">
        <v>4.95</v>
      </c>
      <c r="FR39" s="2">
        <v>5.0199999999999996</v>
      </c>
      <c r="FS39" s="2">
        <v>5.04</v>
      </c>
      <c r="FT39" s="2">
        <v>5.04</v>
      </c>
      <c r="FU39" s="2">
        <v>5.03</v>
      </c>
      <c r="FV39" s="2">
        <v>5.01</v>
      </c>
      <c r="FW39" s="2">
        <v>5.01</v>
      </c>
      <c r="FX39" s="2">
        <v>5.0199999999999996</v>
      </c>
      <c r="FY39" s="2">
        <v>5.03</v>
      </c>
      <c r="FZ39" s="2">
        <v>5.05</v>
      </c>
      <c r="GA39" s="2">
        <v>5.07</v>
      </c>
      <c r="GB39" s="2">
        <v>5.07</v>
      </c>
      <c r="GC39" s="2">
        <v>5.0599999999999996</v>
      </c>
      <c r="GD39" s="2">
        <v>5.0599999999999996</v>
      </c>
      <c r="GE39" s="2">
        <v>5.0599999999999996</v>
      </c>
      <c r="GF39" s="2">
        <v>5.03</v>
      </c>
      <c r="GG39" s="2">
        <v>5.04</v>
      </c>
      <c r="GH39" s="2">
        <v>5.0599999999999996</v>
      </c>
      <c r="GI39" s="2">
        <v>5.09</v>
      </c>
      <c r="GJ39" s="2">
        <v>5.12</v>
      </c>
      <c r="GK39" s="2">
        <v>5.1100000000000003</v>
      </c>
      <c r="GL39" s="2">
        <v>5.14</v>
      </c>
      <c r="GM39" s="2">
        <v>5.14</v>
      </c>
      <c r="GN39" s="2">
        <v>5.17</v>
      </c>
      <c r="GO39" s="2">
        <v>5.19</v>
      </c>
      <c r="GP39" s="2">
        <v>5.2</v>
      </c>
      <c r="GQ39" s="2">
        <v>5.16</v>
      </c>
      <c r="GR39" s="2">
        <v>5.16</v>
      </c>
      <c r="GS39" s="2">
        <v>5.18</v>
      </c>
      <c r="GT39" s="2">
        <v>5.18</v>
      </c>
      <c r="GU39" s="2">
        <v>5.2</v>
      </c>
      <c r="GV39" s="2">
        <v>5.21</v>
      </c>
      <c r="GW39" s="2">
        <v>5.21</v>
      </c>
      <c r="GX39" s="2">
        <v>5.22</v>
      </c>
      <c r="GY39" s="2">
        <v>5.18</v>
      </c>
      <c r="GZ39" s="2">
        <v>5.18</v>
      </c>
      <c r="HA39" s="2">
        <v>5.19</v>
      </c>
      <c r="HB39" s="2">
        <v>5.2</v>
      </c>
      <c r="HC39" s="2">
        <v>5.24</v>
      </c>
      <c r="HD39" s="2">
        <v>5.2</v>
      </c>
      <c r="HE39" s="2">
        <v>5.21</v>
      </c>
      <c r="HF39" s="2">
        <v>5.25</v>
      </c>
      <c r="HG39" s="2">
        <v>5.2</v>
      </c>
      <c r="HH39" s="2">
        <v>5.24</v>
      </c>
      <c r="HI39" s="2">
        <v>5.2</v>
      </c>
      <c r="HJ39" s="2">
        <v>5.24</v>
      </c>
      <c r="HK39" s="2">
        <v>5.25</v>
      </c>
      <c r="HL39" s="2">
        <v>5.26</v>
      </c>
      <c r="HM39" s="2">
        <v>5.25</v>
      </c>
      <c r="HN39" s="2">
        <v>5.28</v>
      </c>
      <c r="HO39" s="2">
        <v>5.27</v>
      </c>
      <c r="HP39" s="2">
        <v>5.27</v>
      </c>
      <c r="HQ39" s="2">
        <v>5.28</v>
      </c>
      <c r="HR39" s="2">
        <v>5.29</v>
      </c>
      <c r="HS39" s="2">
        <v>5.21</v>
      </c>
      <c r="HT39" s="2">
        <v>5.15</v>
      </c>
      <c r="HU39" s="2">
        <v>5.12</v>
      </c>
      <c r="HV39" s="2">
        <v>5.12</v>
      </c>
      <c r="HW39" s="2">
        <v>5.12</v>
      </c>
      <c r="HX39" s="2">
        <v>5.15</v>
      </c>
      <c r="HY39" s="2">
        <v>5.16</v>
      </c>
      <c r="HZ39" s="2">
        <v>5.12</v>
      </c>
      <c r="IA39" s="2">
        <v>5.12</v>
      </c>
      <c r="IB39" s="2">
        <v>5.13</v>
      </c>
      <c r="IC39" s="2">
        <v>5.2</v>
      </c>
      <c r="ID39" s="2">
        <v>5.23</v>
      </c>
      <c r="IE39" s="2">
        <v>5.26</v>
      </c>
      <c r="IF39" s="2">
        <v>5.28</v>
      </c>
      <c r="IG39" s="2">
        <v>5.2</v>
      </c>
      <c r="IH39" s="2">
        <v>5.26</v>
      </c>
      <c r="II39" s="2">
        <v>5.27</v>
      </c>
      <c r="IJ39" s="2">
        <v>5.28</v>
      </c>
      <c r="IK39" s="2">
        <v>5.26</v>
      </c>
      <c r="IL39" s="2">
        <v>5.24</v>
      </c>
      <c r="IM39" s="2">
        <v>5.24</v>
      </c>
      <c r="IN39" s="2">
        <v>5.15</v>
      </c>
      <c r="IO39" s="2">
        <v>5.18</v>
      </c>
      <c r="IP39" s="2">
        <v>5.1100000000000003</v>
      </c>
      <c r="IQ39" s="2">
        <v>5.0999999999999996</v>
      </c>
      <c r="IR39" s="2">
        <v>5.13</v>
      </c>
    </row>
    <row r="40" spans="1:252" ht="23.25" customHeight="1" x14ac:dyDescent="0.3">
      <c r="A40" s="4" t="s">
        <v>298</v>
      </c>
      <c r="B40" s="4">
        <v>39</v>
      </c>
      <c r="C40" s="4" t="s">
        <v>333</v>
      </c>
      <c r="D40" s="3" t="s">
        <v>300</v>
      </c>
      <c r="E40" s="3" t="s">
        <v>301</v>
      </c>
      <c r="F40" s="2">
        <v>11.96</v>
      </c>
      <c r="G40" s="2">
        <v>12.05</v>
      </c>
      <c r="H40" s="2">
        <v>11.98</v>
      </c>
      <c r="I40" s="2">
        <v>11.93</v>
      </c>
      <c r="J40" s="2">
        <v>11.87</v>
      </c>
      <c r="K40" s="2">
        <v>11.91</v>
      </c>
      <c r="L40" s="2">
        <v>11.96</v>
      </c>
      <c r="M40" s="2">
        <v>11.96</v>
      </c>
      <c r="N40" s="2">
        <v>11.96</v>
      </c>
      <c r="O40" s="2">
        <v>11.94</v>
      </c>
      <c r="P40" s="2">
        <v>11.88</v>
      </c>
      <c r="Q40" s="2">
        <v>11.86</v>
      </c>
      <c r="R40" s="2">
        <v>11.88</v>
      </c>
      <c r="S40" s="2">
        <v>11.86</v>
      </c>
      <c r="T40" s="2">
        <v>11.85</v>
      </c>
      <c r="U40" s="2">
        <v>11.8</v>
      </c>
      <c r="V40" s="2">
        <v>11.76</v>
      </c>
      <c r="W40" s="2">
        <v>11.78</v>
      </c>
      <c r="X40" s="2">
        <v>11.78</v>
      </c>
      <c r="Y40" s="2">
        <v>11.85</v>
      </c>
      <c r="Z40" s="2">
        <v>12.01</v>
      </c>
      <c r="AA40" s="2">
        <v>12.01</v>
      </c>
      <c r="AB40" s="2">
        <v>11.98</v>
      </c>
      <c r="AC40" s="2">
        <v>11.87</v>
      </c>
      <c r="AD40" s="2">
        <v>11.9</v>
      </c>
      <c r="AE40" s="2">
        <v>11.95</v>
      </c>
      <c r="AF40" s="2">
        <v>12</v>
      </c>
      <c r="AG40" s="2">
        <v>11.95</v>
      </c>
      <c r="AH40" s="2">
        <v>11.95</v>
      </c>
      <c r="AI40" s="2">
        <v>11.97</v>
      </c>
      <c r="AJ40" s="2">
        <v>11.92</v>
      </c>
      <c r="AK40" s="2">
        <v>11.91</v>
      </c>
      <c r="AL40" s="2">
        <v>11.95</v>
      </c>
      <c r="AM40" s="2">
        <v>12.01</v>
      </c>
      <c r="AN40" s="2">
        <v>12.07</v>
      </c>
      <c r="AO40" s="2">
        <v>12.07</v>
      </c>
      <c r="AP40" s="2">
        <v>12.1</v>
      </c>
      <c r="AQ40" s="2">
        <v>12.06</v>
      </c>
      <c r="AR40" s="2">
        <v>12.07</v>
      </c>
      <c r="AS40" s="2">
        <v>12.07</v>
      </c>
      <c r="AT40" s="2">
        <v>12.1</v>
      </c>
      <c r="AU40" s="2">
        <v>12.11</v>
      </c>
      <c r="AV40" s="2">
        <v>12.08</v>
      </c>
      <c r="AW40" s="2">
        <v>12.07</v>
      </c>
      <c r="AX40" s="2">
        <v>11.85</v>
      </c>
      <c r="AY40" s="2">
        <v>12.07</v>
      </c>
      <c r="AZ40" s="2">
        <v>12.1</v>
      </c>
      <c r="BA40" s="2">
        <v>12.2</v>
      </c>
      <c r="BB40" s="2">
        <v>12</v>
      </c>
      <c r="BC40" s="2">
        <v>11.94</v>
      </c>
      <c r="BD40" s="2">
        <v>11.75</v>
      </c>
      <c r="BE40" s="2">
        <v>11.71</v>
      </c>
      <c r="BF40" s="2">
        <v>11.75</v>
      </c>
      <c r="BG40" s="2">
        <v>11.69</v>
      </c>
      <c r="BH40" s="2">
        <v>11.7</v>
      </c>
      <c r="BI40" s="2">
        <v>11.68</v>
      </c>
      <c r="BJ40" s="2">
        <v>11.71</v>
      </c>
      <c r="BK40" s="2">
        <v>11.74</v>
      </c>
      <c r="BL40" s="2">
        <v>11.77</v>
      </c>
      <c r="BM40" s="2">
        <v>11.81</v>
      </c>
      <c r="BN40" s="2">
        <v>11.85</v>
      </c>
      <c r="BO40" s="2">
        <v>11.84</v>
      </c>
      <c r="BP40" s="2">
        <v>11.74</v>
      </c>
      <c r="BQ40" s="2">
        <v>11.74</v>
      </c>
      <c r="BR40" s="2">
        <v>11.47</v>
      </c>
      <c r="BS40" s="2">
        <v>11.49</v>
      </c>
      <c r="BT40" s="2">
        <v>11.57</v>
      </c>
      <c r="BU40" s="2">
        <v>11.53</v>
      </c>
      <c r="BV40" s="2">
        <v>11.64</v>
      </c>
      <c r="BW40" s="2">
        <v>11.65</v>
      </c>
      <c r="BX40" s="2">
        <v>11.52</v>
      </c>
      <c r="BY40" s="2">
        <v>11.48</v>
      </c>
      <c r="BZ40" s="2">
        <v>11.51</v>
      </c>
      <c r="CA40" s="2">
        <v>11.44</v>
      </c>
      <c r="CB40" s="2">
        <v>11.39</v>
      </c>
      <c r="CC40" s="2">
        <v>11.32</v>
      </c>
      <c r="CD40" s="2">
        <v>11.33</v>
      </c>
      <c r="CE40" s="2">
        <v>11.19</v>
      </c>
      <c r="CF40" s="2">
        <v>11.21</v>
      </c>
      <c r="CG40" s="2">
        <v>11.25</v>
      </c>
      <c r="CH40" s="2">
        <v>11.3</v>
      </c>
      <c r="CI40" s="2">
        <v>11.26</v>
      </c>
      <c r="CJ40" s="2">
        <v>11.27</v>
      </c>
      <c r="CK40" s="2">
        <v>11.24</v>
      </c>
      <c r="CL40" s="2">
        <v>11.12</v>
      </c>
      <c r="CM40" s="2">
        <v>11.12</v>
      </c>
      <c r="CN40" s="2">
        <v>11.13</v>
      </c>
      <c r="CO40" s="2">
        <v>11.2</v>
      </c>
      <c r="CP40" s="2">
        <v>11.15</v>
      </c>
      <c r="CQ40" s="2">
        <v>11.25</v>
      </c>
      <c r="CR40" s="2">
        <v>11.15</v>
      </c>
      <c r="CS40" s="2">
        <v>11.13</v>
      </c>
      <c r="CT40" s="2">
        <v>11.23</v>
      </c>
      <c r="CU40" s="2">
        <v>11.28</v>
      </c>
      <c r="CV40" s="2">
        <v>11.22</v>
      </c>
      <c r="CW40" s="2">
        <v>11.3</v>
      </c>
      <c r="CX40" s="2">
        <v>11.16</v>
      </c>
      <c r="CY40" s="2">
        <v>11.13</v>
      </c>
      <c r="CZ40" s="2">
        <v>11.1</v>
      </c>
      <c r="DA40" s="2">
        <v>11.09</v>
      </c>
      <c r="DB40" s="2">
        <v>11.03</v>
      </c>
      <c r="DC40" s="2">
        <v>11.02</v>
      </c>
      <c r="DD40" s="2">
        <v>11.12</v>
      </c>
      <c r="DE40" s="2">
        <v>11.07</v>
      </c>
      <c r="DF40" s="2">
        <v>11.12</v>
      </c>
      <c r="DG40" s="2">
        <v>11.17</v>
      </c>
      <c r="DH40" s="2">
        <v>11.21</v>
      </c>
      <c r="DI40" s="2">
        <v>11.27</v>
      </c>
      <c r="DJ40" s="2">
        <v>11.29</v>
      </c>
      <c r="DK40" s="2">
        <v>11.41</v>
      </c>
      <c r="DL40" s="2">
        <v>11.39</v>
      </c>
      <c r="DM40" s="2">
        <v>11.38</v>
      </c>
      <c r="DN40" s="2">
        <v>11.44</v>
      </c>
      <c r="DO40" s="2">
        <v>11.46</v>
      </c>
      <c r="DP40" s="2">
        <v>11.44</v>
      </c>
      <c r="DQ40" s="2">
        <v>11.44</v>
      </c>
      <c r="DR40" s="2">
        <v>11.39</v>
      </c>
      <c r="DS40" s="2">
        <v>11.31</v>
      </c>
      <c r="DT40" s="2">
        <v>11.2</v>
      </c>
      <c r="DU40" s="2">
        <v>11.21</v>
      </c>
      <c r="DV40" s="2">
        <v>11.26</v>
      </c>
      <c r="DW40" s="2">
        <v>11.33</v>
      </c>
      <c r="DX40" s="2">
        <v>11.28</v>
      </c>
      <c r="DY40" s="2">
        <v>11.37</v>
      </c>
      <c r="DZ40" s="2">
        <v>11.46</v>
      </c>
      <c r="EA40" s="2">
        <v>11.36</v>
      </c>
      <c r="EB40" s="2">
        <v>11.38</v>
      </c>
      <c r="EC40" s="2">
        <v>11.42</v>
      </c>
      <c r="ED40" s="2">
        <v>11.39</v>
      </c>
      <c r="EE40" s="2">
        <v>11.42</v>
      </c>
      <c r="EF40" s="2">
        <v>11.43</v>
      </c>
      <c r="EG40" s="2">
        <v>11.43</v>
      </c>
      <c r="EH40" s="2">
        <v>11.39</v>
      </c>
      <c r="EI40" s="2">
        <v>11.38</v>
      </c>
      <c r="EJ40" s="2">
        <v>11.4</v>
      </c>
      <c r="EK40" s="2">
        <v>11.44</v>
      </c>
      <c r="EL40" s="2">
        <v>11.5</v>
      </c>
      <c r="EM40" s="2">
        <v>11.5</v>
      </c>
      <c r="EN40" s="2">
        <v>11.46</v>
      </c>
      <c r="EO40" s="2">
        <v>11.39</v>
      </c>
      <c r="EP40" s="2">
        <v>11.41</v>
      </c>
      <c r="EQ40" s="2">
        <v>11.47</v>
      </c>
      <c r="ER40" s="2">
        <v>11.42</v>
      </c>
      <c r="ES40" s="2">
        <v>11.4</v>
      </c>
      <c r="ET40" s="2">
        <v>11.45</v>
      </c>
      <c r="EU40" s="2">
        <v>11.44</v>
      </c>
      <c r="EV40" s="2">
        <v>11.45</v>
      </c>
      <c r="EW40" s="2">
        <v>11.44</v>
      </c>
      <c r="EX40" s="2">
        <v>11.44</v>
      </c>
      <c r="EY40" s="2">
        <v>11.42</v>
      </c>
      <c r="EZ40" s="2">
        <v>11.39</v>
      </c>
      <c r="FA40" s="2">
        <v>11.4</v>
      </c>
      <c r="FB40" s="2">
        <v>11.42</v>
      </c>
      <c r="FC40" s="2">
        <v>11.41</v>
      </c>
      <c r="FD40" s="2">
        <v>11.42</v>
      </c>
      <c r="FE40" s="2">
        <v>11.35</v>
      </c>
      <c r="FF40" s="2">
        <v>11.33</v>
      </c>
      <c r="FG40" s="2">
        <v>11.38</v>
      </c>
      <c r="FH40" s="2">
        <v>11.45</v>
      </c>
      <c r="FI40" s="2">
        <v>11.45</v>
      </c>
      <c r="FJ40" s="2">
        <v>11.45</v>
      </c>
      <c r="FK40" s="2">
        <v>11.46</v>
      </c>
      <c r="FL40" s="2">
        <v>11.5</v>
      </c>
      <c r="FM40" s="2">
        <v>11.59</v>
      </c>
      <c r="FN40" s="2">
        <v>11.52</v>
      </c>
      <c r="FO40" s="2">
        <v>11.53</v>
      </c>
      <c r="FP40" s="2">
        <v>11.55</v>
      </c>
      <c r="FQ40" s="2">
        <v>11.51</v>
      </c>
      <c r="FR40" s="2">
        <v>11.66</v>
      </c>
      <c r="FS40" s="2">
        <v>11.73</v>
      </c>
      <c r="FT40" s="2">
        <v>11.73</v>
      </c>
      <c r="FU40" s="2">
        <v>11.7</v>
      </c>
      <c r="FV40" s="2">
        <v>11.65</v>
      </c>
      <c r="FW40" s="2">
        <v>11.65</v>
      </c>
      <c r="FX40" s="2">
        <v>11.65</v>
      </c>
      <c r="FY40" s="2">
        <v>11.67</v>
      </c>
      <c r="FZ40" s="2">
        <v>11.69</v>
      </c>
      <c r="GA40" s="2">
        <v>11.72</v>
      </c>
      <c r="GB40" s="2">
        <v>11.74</v>
      </c>
      <c r="GC40" s="2">
        <v>11.71</v>
      </c>
      <c r="GD40" s="2">
        <v>11.73</v>
      </c>
      <c r="GE40" s="2">
        <v>11.72</v>
      </c>
      <c r="GF40" s="2">
        <v>11.65</v>
      </c>
      <c r="GG40" s="2">
        <v>11.7</v>
      </c>
      <c r="GH40" s="2">
        <v>11.71</v>
      </c>
      <c r="GI40" s="2">
        <v>11.79</v>
      </c>
      <c r="GJ40" s="2">
        <v>11.87</v>
      </c>
      <c r="GK40" s="2">
        <v>11.84</v>
      </c>
      <c r="GL40" s="2">
        <v>11.91</v>
      </c>
      <c r="GM40" s="2">
        <v>11.91</v>
      </c>
      <c r="GN40" s="2">
        <v>11.98</v>
      </c>
      <c r="GO40" s="2">
        <v>12.01</v>
      </c>
      <c r="GP40" s="2">
        <v>12.03</v>
      </c>
      <c r="GQ40" s="2">
        <v>11.92</v>
      </c>
      <c r="GR40" s="2">
        <v>11.93</v>
      </c>
      <c r="GS40" s="2">
        <v>11.98</v>
      </c>
      <c r="GT40" s="2">
        <v>11.98</v>
      </c>
      <c r="GU40" s="2">
        <v>11.98</v>
      </c>
      <c r="GV40" s="2">
        <v>12.04</v>
      </c>
      <c r="GW40" s="2">
        <v>12.05</v>
      </c>
      <c r="GX40" s="2">
        <v>12.05</v>
      </c>
      <c r="GY40" s="2">
        <v>11.95</v>
      </c>
      <c r="GZ40" s="2">
        <v>11.99</v>
      </c>
      <c r="HA40" s="2">
        <v>12.06</v>
      </c>
      <c r="HB40" s="2">
        <v>12.03</v>
      </c>
      <c r="HC40" s="2">
        <v>12.03</v>
      </c>
      <c r="HD40" s="2">
        <v>12.01</v>
      </c>
      <c r="HE40" s="2">
        <v>12.03</v>
      </c>
      <c r="HF40" s="2">
        <v>12.04</v>
      </c>
      <c r="HG40" s="2">
        <v>12.02</v>
      </c>
      <c r="HH40" s="2">
        <v>12.03</v>
      </c>
      <c r="HI40" s="2">
        <v>12.03</v>
      </c>
      <c r="HJ40" s="2">
        <v>12.03</v>
      </c>
      <c r="HK40" s="2">
        <v>12.05</v>
      </c>
      <c r="HL40" s="2">
        <v>12.06</v>
      </c>
      <c r="HM40" s="2">
        <v>12.05</v>
      </c>
      <c r="HN40" s="2">
        <v>12.1</v>
      </c>
      <c r="HO40" s="2">
        <v>12.08</v>
      </c>
      <c r="HP40" s="2">
        <v>12.08</v>
      </c>
      <c r="HQ40" s="2">
        <v>12.1</v>
      </c>
      <c r="HR40" s="2">
        <v>12.14</v>
      </c>
      <c r="HS40" s="2">
        <v>11.95</v>
      </c>
      <c r="HT40" s="2">
        <v>11.79</v>
      </c>
      <c r="HU40" s="2">
        <v>11.73</v>
      </c>
      <c r="HV40" s="2">
        <v>11.73</v>
      </c>
      <c r="HW40" s="2">
        <v>11.73</v>
      </c>
      <c r="HX40" s="2">
        <v>11.79</v>
      </c>
      <c r="HY40" s="2">
        <v>11.83</v>
      </c>
      <c r="HZ40" s="2">
        <v>11.83</v>
      </c>
      <c r="IA40" s="2">
        <v>11.85</v>
      </c>
      <c r="IB40" s="2">
        <v>11.86</v>
      </c>
      <c r="IC40" s="2">
        <v>11.91</v>
      </c>
      <c r="ID40" s="2">
        <v>11.98</v>
      </c>
      <c r="IE40" s="2">
        <v>12.05</v>
      </c>
      <c r="IF40" s="2">
        <v>12.09</v>
      </c>
      <c r="IG40" s="2">
        <v>12.02</v>
      </c>
      <c r="IH40" s="2">
        <v>12.05</v>
      </c>
      <c r="II40" s="2">
        <v>12.05</v>
      </c>
      <c r="IJ40" s="2">
        <v>12.07</v>
      </c>
      <c r="IK40" s="2">
        <v>12.04</v>
      </c>
      <c r="IL40" s="2">
        <v>12</v>
      </c>
      <c r="IM40" s="2">
        <v>12.01</v>
      </c>
      <c r="IN40" s="2">
        <v>11.79</v>
      </c>
      <c r="IO40" s="2">
        <v>11.86</v>
      </c>
      <c r="IP40" s="2">
        <v>11.69</v>
      </c>
      <c r="IQ40" s="2">
        <v>11.68</v>
      </c>
      <c r="IR40" s="2">
        <v>11.75</v>
      </c>
    </row>
    <row r="41" spans="1:252" ht="23.25" customHeight="1" x14ac:dyDescent="0.3">
      <c r="A41" s="4" t="s">
        <v>298</v>
      </c>
      <c r="B41" s="4">
        <v>40</v>
      </c>
      <c r="C41" s="4" t="s">
        <v>334</v>
      </c>
      <c r="D41" s="3" t="s">
        <v>300</v>
      </c>
      <c r="E41" s="3" t="s">
        <v>301</v>
      </c>
      <c r="F41" s="2">
        <v>68.62</v>
      </c>
      <c r="G41" s="2">
        <v>72.239999999999995</v>
      </c>
      <c r="H41" s="2">
        <v>71.22</v>
      </c>
      <c r="I41" s="2">
        <v>70.430000000000007</v>
      </c>
      <c r="J41" s="2">
        <v>70.709999999999994</v>
      </c>
      <c r="K41" s="2">
        <v>70.17</v>
      </c>
      <c r="L41" s="2">
        <v>70.489999999999995</v>
      </c>
      <c r="M41" s="2">
        <v>70.73</v>
      </c>
      <c r="N41" s="2">
        <v>70.73</v>
      </c>
      <c r="O41" s="2">
        <v>71.040000000000006</v>
      </c>
      <c r="P41" s="2">
        <v>71.05</v>
      </c>
      <c r="Q41" s="2">
        <v>71.010000000000005</v>
      </c>
      <c r="R41" s="2">
        <v>71.28</v>
      </c>
      <c r="S41" s="2">
        <v>70.41</v>
      </c>
      <c r="T41" s="2">
        <v>70.89</v>
      </c>
      <c r="U41" s="2">
        <v>70.349999999999994</v>
      </c>
      <c r="V41" s="2">
        <v>69.790000000000006</v>
      </c>
      <c r="W41" s="2">
        <v>69.92</v>
      </c>
      <c r="X41" s="2">
        <v>70.099999999999994</v>
      </c>
      <c r="Y41" s="2">
        <v>70.28</v>
      </c>
      <c r="Z41" s="2">
        <v>70.5</v>
      </c>
      <c r="AA41" s="2">
        <v>71.02</v>
      </c>
      <c r="AB41" s="2">
        <v>71.349999999999994</v>
      </c>
      <c r="AC41" s="2">
        <v>71.09</v>
      </c>
      <c r="AD41" s="2">
        <v>71.34</v>
      </c>
      <c r="AE41" s="2">
        <v>71.31</v>
      </c>
      <c r="AF41" s="2">
        <v>71.930000000000007</v>
      </c>
      <c r="AG41" s="2">
        <v>71.959999999999994</v>
      </c>
      <c r="AH41" s="2">
        <v>72.290000000000006</v>
      </c>
      <c r="AI41" s="2">
        <v>73.010000000000005</v>
      </c>
      <c r="AJ41" s="2">
        <v>72.540000000000006</v>
      </c>
      <c r="AK41" s="2">
        <v>72.67</v>
      </c>
      <c r="AL41" s="2">
        <v>72.430000000000007</v>
      </c>
      <c r="AM41" s="2">
        <v>72.44</v>
      </c>
      <c r="AN41" s="2">
        <v>72.53</v>
      </c>
      <c r="AO41" s="2">
        <v>73.180000000000007</v>
      </c>
      <c r="AP41" s="2">
        <v>73.290000000000006</v>
      </c>
      <c r="AQ41" s="2">
        <v>72.44</v>
      </c>
      <c r="AR41" s="2">
        <v>72.27</v>
      </c>
      <c r="AS41" s="2">
        <v>71.930000000000007</v>
      </c>
      <c r="AT41" s="2">
        <v>71.8</v>
      </c>
      <c r="AU41" s="2">
        <v>72.36</v>
      </c>
      <c r="AV41" s="2">
        <v>72.31</v>
      </c>
      <c r="AW41" s="2">
        <v>73.52</v>
      </c>
      <c r="AX41" s="2">
        <v>69.790000000000006</v>
      </c>
      <c r="AY41" s="2">
        <v>70.83</v>
      </c>
      <c r="AZ41" s="2">
        <v>70.489999999999995</v>
      </c>
      <c r="BA41" s="2">
        <v>73.010000000000005</v>
      </c>
      <c r="BB41" s="2">
        <v>71.010000000000005</v>
      </c>
      <c r="BC41" s="2">
        <v>71.53</v>
      </c>
      <c r="BD41" s="2">
        <v>70.989999999999995</v>
      </c>
      <c r="BE41" s="2">
        <v>70.75</v>
      </c>
      <c r="BF41" s="2">
        <v>71.62</v>
      </c>
      <c r="BG41" s="2">
        <v>72.06</v>
      </c>
      <c r="BH41" s="2">
        <v>72.14</v>
      </c>
      <c r="BI41" s="2">
        <v>71.900000000000006</v>
      </c>
      <c r="BJ41" s="2">
        <v>72.540000000000006</v>
      </c>
      <c r="BK41" s="2">
        <v>72.64</v>
      </c>
      <c r="BL41" s="2">
        <v>72.98</v>
      </c>
      <c r="BM41" s="2">
        <v>73.459999999999994</v>
      </c>
      <c r="BN41" s="2">
        <v>73.489999999999995</v>
      </c>
      <c r="BO41" s="2">
        <v>73.55</v>
      </c>
      <c r="BP41" s="2">
        <v>72.77</v>
      </c>
      <c r="BQ41" s="2">
        <v>72.61</v>
      </c>
      <c r="BR41" s="2">
        <v>71.099999999999994</v>
      </c>
      <c r="BS41" s="2">
        <v>71.48</v>
      </c>
      <c r="BT41" s="2">
        <v>72.3</v>
      </c>
      <c r="BU41" s="2">
        <v>71.36</v>
      </c>
      <c r="BV41" s="2">
        <v>72.8</v>
      </c>
      <c r="BW41" s="2">
        <v>73.02</v>
      </c>
      <c r="BX41" s="2">
        <v>71.83</v>
      </c>
      <c r="BY41" s="2">
        <v>71.67</v>
      </c>
      <c r="BZ41" s="2">
        <v>72.400000000000006</v>
      </c>
      <c r="CA41" s="2">
        <v>72.28</v>
      </c>
      <c r="CB41" s="2">
        <v>71.569999999999993</v>
      </c>
      <c r="CC41" s="2">
        <v>71.319999999999993</v>
      </c>
      <c r="CD41" s="2">
        <v>71.64</v>
      </c>
      <c r="CE41" s="2">
        <v>70.930000000000007</v>
      </c>
      <c r="CF41" s="2">
        <v>71.02</v>
      </c>
      <c r="CG41" s="2">
        <v>70.86</v>
      </c>
      <c r="CH41" s="2">
        <v>71.53</v>
      </c>
      <c r="CI41" s="2">
        <v>70.819999999999993</v>
      </c>
      <c r="CJ41" s="2">
        <v>71.56</v>
      </c>
      <c r="CK41" s="2">
        <v>71.55</v>
      </c>
      <c r="CL41" s="2">
        <v>71.150000000000006</v>
      </c>
      <c r="CM41" s="2">
        <v>71.33</v>
      </c>
      <c r="CN41" s="2">
        <v>71.34</v>
      </c>
      <c r="CO41" s="2">
        <v>72.41</v>
      </c>
      <c r="CP41" s="2">
        <v>72.14</v>
      </c>
      <c r="CQ41" s="2">
        <v>72.13</v>
      </c>
      <c r="CR41" s="2">
        <v>72.11</v>
      </c>
      <c r="CS41" s="2">
        <v>71.569999999999993</v>
      </c>
      <c r="CT41" s="2">
        <v>72.19</v>
      </c>
      <c r="CU41" s="2">
        <v>72.47</v>
      </c>
      <c r="CV41" s="2">
        <v>71.150000000000006</v>
      </c>
      <c r="CW41" s="2">
        <v>72.37</v>
      </c>
      <c r="CX41" s="2">
        <v>71.86</v>
      </c>
      <c r="CY41" s="2">
        <v>71.88</v>
      </c>
      <c r="CZ41" s="2">
        <v>71.88</v>
      </c>
      <c r="DA41" s="2">
        <v>72.11</v>
      </c>
      <c r="DB41" s="2">
        <v>72.19</v>
      </c>
      <c r="DC41" s="2">
        <v>72.16</v>
      </c>
      <c r="DD41" s="2">
        <v>72.38</v>
      </c>
      <c r="DE41" s="2">
        <v>72.8</v>
      </c>
      <c r="DF41" s="2">
        <v>73.3</v>
      </c>
      <c r="DG41" s="2">
        <v>73.28</v>
      </c>
      <c r="DH41" s="2">
        <v>73.5</v>
      </c>
      <c r="DI41" s="2">
        <v>73.7</v>
      </c>
      <c r="DJ41" s="2">
        <v>73.8</v>
      </c>
      <c r="DK41" s="2">
        <v>73.61</v>
      </c>
      <c r="DL41" s="2">
        <v>73.510000000000005</v>
      </c>
      <c r="DM41" s="2">
        <v>73.489999999999995</v>
      </c>
      <c r="DN41" s="2">
        <v>74.09</v>
      </c>
      <c r="DO41" s="2">
        <v>74.150000000000006</v>
      </c>
      <c r="DP41" s="2">
        <v>74.3</v>
      </c>
      <c r="DQ41" s="2">
        <v>74.489999999999995</v>
      </c>
      <c r="DR41" s="2">
        <v>74.34</v>
      </c>
      <c r="DS41" s="2">
        <v>74.39</v>
      </c>
      <c r="DT41" s="2">
        <v>73.81</v>
      </c>
      <c r="DU41" s="2">
        <v>74.260000000000005</v>
      </c>
      <c r="DV41" s="2">
        <v>73.540000000000006</v>
      </c>
      <c r="DW41" s="2">
        <v>74.209999999999994</v>
      </c>
      <c r="DX41" s="2">
        <v>73.319999999999993</v>
      </c>
      <c r="DY41" s="2">
        <v>73.69</v>
      </c>
      <c r="DZ41" s="2">
        <v>74.09</v>
      </c>
      <c r="EA41" s="2">
        <v>73.319999999999993</v>
      </c>
      <c r="EB41" s="2">
        <v>73.989999999999995</v>
      </c>
      <c r="EC41" s="2">
        <v>74.7</v>
      </c>
      <c r="ED41" s="2">
        <v>74.37</v>
      </c>
      <c r="EE41" s="2">
        <v>74.59</v>
      </c>
      <c r="EF41" s="2">
        <v>74.36</v>
      </c>
      <c r="EG41" s="2">
        <v>74.8</v>
      </c>
      <c r="EH41" s="2">
        <v>74.25</v>
      </c>
      <c r="EI41" s="2">
        <v>73.819999999999993</v>
      </c>
      <c r="EJ41" s="2">
        <v>73.77</v>
      </c>
      <c r="EK41" s="2">
        <v>73.83</v>
      </c>
      <c r="EL41" s="2">
        <v>74.44</v>
      </c>
      <c r="EM41" s="2">
        <v>74.569999999999993</v>
      </c>
      <c r="EN41" s="2">
        <v>75.06</v>
      </c>
      <c r="EO41" s="2">
        <v>74.180000000000007</v>
      </c>
      <c r="EP41" s="2">
        <v>74.56</v>
      </c>
      <c r="EQ41" s="2">
        <v>74.81</v>
      </c>
      <c r="ER41" s="2">
        <v>74.42</v>
      </c>
      <c r="ES41" s="2">
        <v>74.37</v>
      </c>
      <c r="ET41" s="2">
        <v>74.62</v>
      </c>
      <c r="EU41" s="2">
        <v>74.34</v>
      </c>
      <c r="EV41" s="2">
        <v>74.5</v>
      </c>
      <c r="EW41" s="2">
        <v>74.34</v>
      </c>
      <c r="EX41" s="2">
        <v>74.31</v>
      </c>
      <c r="EY41" s="2">
        <v>74.52</v>
      </c>
      <c r="EZ41" s="2">
        <v>74.45</v>
      </c>
      <c r="FA41" s="2">
        <v>74.63</v>
      </c>
      <c r="FB41" s="2">
        <v>75.22</v>
      </c>
      <c r="FC41" s="2">
        <v>75.27</v>
      </c>
      <c r="FD41" s="2">
        <v>75.69</v>
      </c>
      <c r="FE41" s="2">
        <v>75.56</v>
      </c>
      <c r="FF41" s="2">
        <v>75.349999999999994</v>
      </c>
      <c r="FG41" s="2">
        <v>75.39</v>
      </c>
      <c r="FH41" s="2">
        <v>75.67</v>
      </c>
      <c r="FI41" s="2">
        <v>75.930000000000007</v>
      </c>
      <c r="FJ41" s="2">
        <v>75.95</v>
      </c>
      <c r="FK41" s="2">
        <v>75.739999999999995</v>
      </c>
      <c r="FL41" s="2">
        <v>75.77</v>
      </c>
      <c r="FM41" s="2">
        <v>76.86</v>
      </c>
      <c r="FN41" s="2">
        <v>76.34</v>
      </c>
      <c r="FO41" s="2">
        <v>76.63</v>
      </c>
      <c r="FP41" s="2">
        <v>76.459999999999994</v>
      </c>
      <c r="FQ41" s="2">
        <v>76.209999999999994</v>
      </c>
      <c r="FR41" s="2">
        <v>76.73</v>
      </c>
      <c r="FS41" s="2">
        <v>77.319999999999993</v>
      </c>
      <c r="FT41" s="2">
        <v>77.2</v>
      </c>
      <c r="FU41" s="2">
        <v>77.150000000000006</v>
      </c>
      <c r="FV41" s="2">
        <v>77</v>
      </c>
      <c r="FW41" s="2">
        <v>77.23</v>
      </c>
      <c r="FX41" s="2">
        <v>77.180000000000007</v>
      </c>
      <c r="FY41" s="2">
        <v>77.209999999999994</v>
      </c>
      <c r="FZ41" s="2">
        <v>77.540000000000006</v>
      </c>
      <c r="GA41" s="2">
        <v>78.11</v>
      </c>
      <c r="GB41" s="2">
        <v>77.989999999999995</v>
      </c>
      <c r="GC41" s="2">
        <v>77.88</v>
      </c>
      <c r="GD41" s="2">
        <v>77.8</v>
      </c>
      <c r="GE41" s="2">
        <v>77.540000000000006</v>
      </c>
      <c r="GF41" s="2">
        <v>76.790000000000006</v>
      </c>
      <c r="GG41" s="2">
        <v>76.91</v>
      </c>
      <c r="GH41" s="2">
        <v>77.28</v>
      </c>
      <c r="GI41" s="2">
        <v>76.87</v>
      </c>
      <c r="GJ41" s="2">
        <v>77.81</v>
      </c>
      <c r="GK41" s="2">
        <v>77.790000000000006</v>
      </c>
      <c r="GL41" s="2">
        <v>78.84</v>
      </c>
      <c r="GM41" s="2">
        <v>79.099999999999994</v>
      </c>
      <c r="GN41" s="2">
        <v>79.849999999999994</v>
      </c>
      <c r="GO41" s="2">
        <v>80.11</v>
      </c>
      <c r="GP41" s="2">
        <v>80.23</v>
      </c>
      <c r="GQ41" s="2">
        <v>79.66</v>
      </c>
      <c r="GR41" s="2">
        <v>79.14</v>
      </c>
      <c r="GS41" s="2">
        <v>79.91</v>
      </c>
      <c r="GT41" s="2">
        <v>79.89</v>
      </c>
      <c r="GU41" s="2">
        <v>79.83</v>
      </c>
      <c r="GV41" s="2">
        <v>79.67</v>
      </c>
      <c r="GW41" s="2">
        <v>79.64</v>
      </c>
      <c r="GX41" s="2">
        <v>80.13</v>
      </c>
      <c r="GY41" s="2">
        <v>79.73</v>
      </c>
      <c r="GZ41" s="2">
        <v>79.84</v>
      </c>
      <c r="HA41" s="2">
        <v>80.17</v>
      </c>
      <c r="HB41" s="2">
        <v>80.25</v>
      </c>
      <c r="HC41" s="2">
        <v>80.39</v>
      </c>
      <c r="HD41" s="2">
        <v>80.3</v>
      </c>
      <c r="HE41" s="2">
        <v>80.7</v>
      </c>
      <c r="HF41" s="2">
        <v>81</v>
      </c>
      <c r="HG41" s="2">
        <v>80.42</v>
      </c>
      <c r="HH41" s="2">
        <v>80.8</v>
      </c>
      <c r="HI41" s="2">
        <v>80.959999999999994</v>
      </c>
      <c r="HJ41" s="2">
        <v>81.5</v>
      </c>
      <c r="HK41" s="2">
        <v>81.739999999999995</v>
      </c>
      <c r="HL41" s="2">
        <v>81.95</v>
      </c>
      <c r="HM41" s="2">
        <v>81.93</v>
      </c>
      <c r="HN41" s="2">
        <v>82.08</v>
      </c>
      <c r="HO41" s="2">
        <v>82.11</v>
      </c>
      <c r="HP41" s="2">
        <v>81.98</v>
      </c>
      <c r="HQ41" s="2">
        <v>82.26</v>
      </c>
      <c r="HR41" s="2">
        <v>82.84</v>
      </c>
      <c r="HS41" s="2">
        <v>81.459999999999994</v>
      </c>
      <c r="HT41" s="2">
        <v>80.569999999999993</v>
      </c>
      <c r="HU41" s="2">
        <v>79.78</v>
      </c>
      <c r="HV41" s="2">
        <v>79.77</v>
      </c>
      <c r="HW41" s="2">
        <v>79.66</v>
      </c>
      <c r="HX41" s="2">
        <v>80.510000000000005</v>
      </c>
      <c r="HY41" s="2">
        <v>80.75</v>
      </c>
      <c r="HZ41" s="2">
        <v>80.349999999999994</v>
      </c>
      <c r="IA41" s="2">
        <v>80.53</v>
      </c>
      <c r="IB41" s="2">
        <v>80.64</v>
      </c>
      <c r="IC41" s="2">
        <v>80.98</v>
      </c>
      <c r="ID41" s="2">
        <v>81.69</v>
      </c>
      <c r="IE41" s="2">
        <v>82.63</v>
      </c>
      <c r="IF41" s="2">
        <v>83</v>
      </c>
      <c r="IG41" s="2">
        <v>83.24</v>
      </c>
      <c r="IH41" s="2">
        <v>83.55</v>
      </c>
      <c r="II41" s="2">
        <v>83.83</v>
      </c>
      <c r="IJ41" s="2">
        <v>83.91</v>
      </c>
      <c r="IK41" s="2">
        <v>84.21</v>
      </c>
      <c r="IL41" s="2">
        <v>84.09</v>
      </c>
      <c r="IM41" s="2">
        <v>84.54</v>
      </c>
      <c r="IN41" s="2">
        <v>83.13</v>
      </c>
      <c r="IO41" s="2">
        <v>84.48</v>
      </c>
      <c r="IP41" s="2">
        <v>83.07</v>
      </c>
      <c r="IQ41" s="2">
        <v>82.84</v>
      </c>
      <c r="IR41" s="2">
        <v>82.07</v>
      </c>
    </row>
    <row r="42" spans="1:252" ht="23.25" customHeight="1" x14ac:dyDescent="0.3">
      <c r="A42" s="4" t="s">
        <v>298</v>
      </c>
      <c r="B42" s="4">
        <v>41</v>
      </c>
      <c r="C42" s="4" t="s">
        <v>335</v>
      </c>
      <c r="D42" s="3" t="s">
        <v>300</v>
      </c>
      <c r="E42" s="3" t="s">
        <v>301</v>
      </c>
      <c r="F42" s="2">
        <v>248.63</v>
      </c>
      <c r="G42" s="2">
        <v>253.01</v>
      </c>
      <c r="H42" s="2">
        <v>253.67</v>
      </c>
      <c r="I42" s="2">
        <v>249.81</v>
      </c>
      <c r="J42" s="2">
        <v>251.14</v>
      </c>
      <c r="K42" s="2">
        <v>249.15</v>
      </c>
      <c r="L42" s="2">
        <v>251.12</v>
      </c>
      <c r="M42" s="2">
        <v>252.09</v>
      </c>
      <c r="N42" s="2">
        <v>251.95</v>
      </c>
      <c r="O42" s="2">
        <v>251.5</v>
      </c>
      <c r="P42" s="2">
        <v>253</v>
      </c>
      <c r="Q42" s="2">
        <v>252.23</v>
      </c>
      <c r="R42" s="2">
        <v>253.77</v>
      </c>
      <c r="S42" s="2">
        <v>251.78</v>
      </c>
      <c r="T42" s="2">
        <v>252.41</v>
      </c>
      <c r="U42" s="2">
        <v>250.27</v>
      </c>
      <c r="V42" s="2">
        <v>247.31</v>
      </c>
      <c r="W42" s="2">
        <v>249.25</v>
      </c>
      <c r="X42" s="2">
        <v>246.69</v>
      </c>
      <c r="Y42" s="2">
        <v>246.48</v>
      </c>
      <c r="Z42" s="2">
        <v>247.85</v>
      </c>
      <c r="AA42" s="2">
        <v>248.01</v>
      </c>
      <c r="AB42" s="2">
        <v>253.66</v>
      </c>
      <c r="AC42" s="2">
        <v>250.09</v>
      </c>
      <c r="AD42" s="2">
        <v>249.74</v>
      </c>
      <c r="AE42" s="2">
        <v>247.9</v>
      </c>
      <c r="AF42" s="2">
        <v>250.91</v>
      </c>
      <c r="AG42" s="2">
        <v>250.38</v>
      </c>
      <c r="AH42" s="2">
        <v>250.34</v>
      </c>
      <c r="AI42" s="2">
        <v>253.2</v>
      </c>
      <c r="AJ42" s="2">
        <v>254.6</v>
      </c>
      <c r="AK42" s="2">
        <v>255.07</v>
      </c>
      <c r="AL42" s="2">
        <v>257.07</v>
      </c>
      <c r="AM42" s="2">
        <v>257.10000000000002</v>
      </c>
      <c r="AN42" s="2">
        <v>256.04000000000002</v>
      </c>
      <c r="AO42" s="2">
        <v>254.63</v>
      </c>
      <c r="AP42" s="2">
        <v>257.83999999999997</v>
      </c>
      <c r="AQ42" s="2">
        <v>255.49</v>
      </c>
      <c r="AR42" s="2">
        <v>255.52</v>
      </c>
      <c r="AS42" s="2">
        <v>254.64</v>
      </c>
      <c r="AT42" s="2">
        <v>257.98</v>
      </c>
      <c r="AU42" s="2">
        <v>259.02</v>
      </c>
      <c r="AV42" s="2">
        <v>259.07</v>
      </c>
      <c r="AW42" s="2">
        <v>260.45</v>
      </c>
      <c r="AX42" s="2">
        <v>246.28</v>
      </c>
      <c r="AY42" s="2">
        <v>247.81</v>
      </c>
      <c r="AZ42" s="2">
        <v>244.41</v>
      </c>
      <c r="BA42" s="2">
        <v>254.83</v>
      </c>
      <c r="BB42" s="2">
        <v>247.81</v>
      </c>
      <c r="BC42" s="2">
        <v>247.32</v>
      </c>
      <c r="BD42" s="2">
        <v>243.79</v>
      </c>
      <c r="BE42" s="2">
        <v>241.78</v>
      </c>
      <c r="BF42" s="2">
        <v>243.31</v>
      </c>
      <c r="BG42" s="2">
        <v>244.31</v>
      </c>
      <c r="BH42" s="2">
        <v>244.78</v>
      </c>
      <c r="BI42" s="2">
        <v>244.33</v>
      </c>
      <c r="BJ42" s="2">
        <v>248.64</v>
      </c>
      <c r="BK42" s="2">
        <v>250.08</v>
      </c>
      <c r="BL42" s="2">
        <v>251.75</v>
      </c>
      <c r="BM42" s="2">
        <v>252.25</v>
      </c>
      <c r="BN42" s="2">
        <v>254.57</v>
      </c>
      <c r="BO42" s="2">
        <v>255.94</v>
      </c>
      <c r="BP42" s="2">
        <v>251.51</v>
      </c>
      <c r="BQ42" s="2">
        <v>249.64</v>
      </c>
      <c r="BR42" s="2">
        <v>242.65</v>
      </c>
      <c r="BS42" s="2">
        <v>246.53</v>
      </c>
      <c r="BT42" s="2">
        <v>248.78</v>
      </c>
      <c r="BU42" s="2">
        <v>246.97</v>
      </c>
      <c r="BV42" s="2">
        <v>252.08</v>
      </c>
      <c r="BW42" s="2">
        <v>251.12</v>
      </c>
      <c r="BX42" s="2">
        <v>246.32</v>
      </c>
      <c r="BY42" s="2">
        <v>246.18</v>
      </c>
      <c r="BZ42" s="2">
        <v>247.61</v>
      </c>
      <c r="CA42" s="2">
        <v>245.69</v>
      </c>
      <c r="CB42" s="2">
        <v>245.7</v>
      </c>
      <c r="CC42" s="2">
        <v>241.08</v>
      </c>
      <c r="CD42" s="2">
        <v>243.84</v>
      </c>
      <c r="CE42" s="2">
        <v>240.82</v>
      </c>
      <c r="CF42" s="2">
        <v>242.68</v>
      </c>
      <c r="CG42" s="2">
        <v>241.59</v>
      </c>
      <c r="CH42" s="2">
        <v>243.77</v>
      </c>
      <c r="CI42" s="2">
        <v>240.36</v>
      </c>
      <c r="CJ42" s="2">
        <v>244.18</v>
      </c>
      <c r="CK42" s="2">
        <v>243.91</v>
      </c>
      <c r="CL42" s="2">
        <v>244.3</v>
      </c>
      <c r="CM42" s="2">
        <v>244.45</v>
      </c>
      <c r="CN42" s="2">
        <v>243.95</v>
      </c>
      <c r="CO42" s="2">
        <v>247.21</v>
      </c>
      <c r="CP42" s="2">
        <v>246.12</v>
      </c>
      <c r="CQ42" s="2">
        <v>246.54</v>
      </c>
      <c r="CR42" s="2">
        <v>248.29</v>
      </c>
      <c r="CS42" s="2">
        <v>247.85</v>
      </c>
      <c r="CT42" s="2">
        <v>250.26</v>
      </c>
      <c r="CU42" s="2">
        <v>251.22</v>
      </c>
      <c r="CV42" s="2">
        <v>248.39</v>
      </c>
      <c r="CW42" s="2">
        <v>251.48</v>
      </c>
      <c r="CX42" s="2">
        <v>247.67</v>
      </c>
      <c r="CY42" s="2">
        <v>244.85</v>
      </c>
      <c r="CZ42" s="2">
        <v>247.77</v>
      </c>
      <c r="DA42" s="2">
        <v>247.6</v>
      </c>
      <c r="DB42" s="2">
        <v>249.2</v>
      </c>
      <c r="DC42" s="2">
        <v>247.79</v>
      </c>
      <c r="DD42" s="2">
        <v>250.49</v>
      </c>
      <c r="DE42" s="2">
        <v>251.07</v>
      </c>
      <c r="DF42" s="2">
        <v>251.65</v>
      </c>
      <c r="DG42" s="2">
        <v>248.99</v>
      </c>
      <c r="DH42" s="2">
        <v>251.1</v>
      </c>
      <c r="DI42" s="2">
        <v>246.06</v>
      </c>
      <c r="DJ42" s="2">
        <v>248.17</v>
      </c>
      <c r="DK42" s="2">
        <v>247.16</v>
      </c>
      <c r="DL42" s="2">
        <v>246.66</v>
      </c>
      <c r="DM42" s="2">
        <v>248.83</v>
      </c>
      <c r="DN42" s="2">
        <v>249.11</v>
      </c>
      <c r="DO42" s="2">
        <v>250.64</v>
      </c>
      <c r="DP42" s="2">
        <v>249.42</v>
      </c>
      <c r="DQ42" s="2">
        <v>249.87</v>
      </c>
      <c r="DR42" s="2">
        <v>249.1</v>
      </c>
      <c r="DS42" s="2">
        <v>249.97</v>
      </c>
      <c r="DT42" s="2">
        <v>247.89</v>
      </c>
      <c r="DU42" s="2">
        <v>247.46</v>
      </c>
      <c r="DV42" s="2">
        <v>246.86</v>
      </c>
      <c r="DW42" s="2">
        <v>249.6</v>
      </c>
      <c r="DX42" s="2">
        <v>247.97</v>
      </c>
      <c r="DY42" s="2">
        <v>248.27</v>
      </c>
      <c r="DZ42" s="2">
        <v>252.64</v>
      </c>
      <c r="EA42" s="2">
        <v>251.92</v>
      </c>
      <c r="EB42" s="2">
        <v>251.91</v>
      </c>
      <c r="EC42" s="2">
        <v>254.51</v>
      </c>
      <c r="ED42" s="2">
        <v>255.57</v>
      </c>
      <c r="EE42" s="2">
        <v>255.07</v>
      </c>
      <c r="EF42" s="2">
        <v>255.08</v>
      </c>
      <c r="EG42" s="2">
        <v>257.33</v>
      </c>
      <c r="EH42" s="2">
        <v>256.63</v>
      </c>
      <c r="EI42" s="2">
        <v>255.92</v>
      </c>
      <c r="EJ42" s="2">
        <v>254.78</v>
      </c>
      <c r="EK42" s="2">
        <v>252.64</v>
      </c>
      <c r="EL42" s="2">
        <v>255.24</v>
      </c>
      <c r="EM42" s="2">
        <v>255.76</v>
      </c>
      <c r="EN42" s="2">
        <v>257.33</v>
      </c>
      <c r="EO42" s="2">
        <v>256.22000000000003</v>
      </c>
      <c r="EP42" s="2">
        <v>256.13</v>
      </c>
      <c r="EQ42" s="2">
        <v>257.58999999999997</v>
      </c>
      <c r="ER42" s="2">
        <v>256.45999999999998</v>
      </c>
      <c r="ES42" s="2">
        <v>255.43</v>
      </c>
      <c r="ET42" s="2">
        <v>255.96</v>
      </c>
      <c r="EU42" s="2">
        <v>254.56</v>
      </c>
      <c r="EV42" s="2">
        <v>255.72</v>
      </c>
      <c r="EW42" s="2">
        <v>255.77</v>
      </c>
      <c r="EX42" s="2">
        <v>257.12</v>
      </c>
      <c r="EY42" s="2">
        <v>256.45999999999998</v>
      </c>
      <c r="EZ42" s="2">
        <v>255.18</v>
      </c>
      <c r="FA42" s="2">
        <v>256.81</v>
      </c>
      <c r="FB42" s="2">
        <v>257.79000000000002</v>
      </c>
      <c r="FC42" s="2">
        <v>259.48</v>
      </c>
      <c r="FD42" s="2">
        <v>261.33999999999997</v>
      </c>
      <c r="FE42" s="2">
        <v>260.95</v>
      </c>
      <c r="FF42" s="2">
        <v>259.86</v>
      </c>
      <c r="FG42" s="2">
        <v>260.97000000000003</v>
      </c>
      <c r="FH42" s="2">
        <v>261.54000000000002</v>
      </c>
      <c r="FI42" s="2">
        <v>261.27</v>
      </c>
      <c r="FJ42" s="2">
        <v>263.85000000000002</v>
      </c>
      <c r="FK42" s="2">
        <v>261.64</v>
      </c>
      <c r="FL42" s="2">
        <v>261.02999999999997</v>
      </c>
      <c r="FM42" s="2">
        <v>263.85000000000002</v>
      </c>
      <c r="FN42" s="2">
        <v>263.39999999999998</v>
      </c>
      <c r="FO42" s="2">
        <v>263.76</v>
      </c>
      <c r="FP42" s="2">
        <v>263.81</v>
      </c>
      <c r="FQ42" s="2">
        <v>260.64</v>
      </c>
      <c r="FR42" s="2">
        <v>256.97000000000003</v>
      </c>
      <c r="FS42" s="2">
        <v>261.2</v>
      </c>
      <c r="FT42" s="2">
        <v>260.49</v>
      </c>
      <c r="FU42" s="2">
        <v>261.36</v>
      </c>
      <c r="FV42" s="2">
        <v>260.62</v>
      </c>
      <c r="FW42" s="2">
        <v>262.66000000000003</v>
      </c>
      <c r="FX42" s="2">
        <v>264.29000000000002</v>
      </c>
      <c r="FY42" s="2">
        <v>264.22000000000003</v>
      </c>
      <c r="FZ42" s="2">
        <v>264.79000000000002</v>
      </c>
      <c r="GA42" s="2">
        <v>266.83</v>
      </c>
      <c r="GB42" s="2">
        <v>266.42</v>
      </c>
      <c r="GC42" s="2">
        <v>266.52999999999997</v>
      </c>
      <c r="GD42" s="2">
        <v>267.67</v>
      </c>
      <c r="GE42" s="2">
        <v>267.42</v>
      </c>
      <c r="GF42" s="2">
        <v>264.39</v>
      </c>
      <c r="GG42" s="2">
        <v>265.54000000000002</v>
      </c>
      <c r="GH42" s="2">
        <v>266.74</v>
      </c>
      <c r="GI42" s="2">
        <v>266.36</v>
      </c>
      <c r="GJ42" s="2">
        <v>269.97000000000003</v>
      </c>
      <c r="GK42" s="2">
        <v>270.2</v>
      </c>
      <c r="GL42" s="2">
        <v>272.68</v>
      </c>
      <c r="GM42" s="2">
        <v>274.74</v>
      </c>
      <c r="GN42" s="2">
        <v>277.52999999999997</v>
      </c>
      <c r="GO42" s="2">
        <v>277.05</v>
      </c>
      <c r="GP42" s="2">
        <v>277.36</v>
      </c>
      <c r="GQ42" s="2">
        <v>275.37</v>
      </c>
      <c r="GR42" s="2">
        <v>273.63</v>
      </c>
      <c r="GS42" s="2">
        <v>275.3</v>
      </c>
      <c r="GT42" s="2">
        <v>274.82</v>
      </c>
      <c r="GU42" s="2">
        <v>275.33</v>
      </c>
      <c r="GV42" s="2">
        <v>272.43</v>
      </c>
      <c r="GW42" s="2">
        <v>273.45</v>
      </c>
      <c r="GX42" s="2">
        <v>273.81</v>
      </c>
      <c r="GY42" s="2">
        <v>274.3</v>
      </c>
      <c r="GZ42" s="2">
        <v>273.45999999999998</v>
      </c>
      <c r="HA42" s="2">
        <v>274.68</v>
      </c>
      <c r="HB42" s="2">
        <v>274.20999999999998</v>
      </c>
      <c r="HC42" s="2">
        <v>275.83</v>
      </c>
      <c r="HD42" s="2">
        <v>276.7</v>
      </c>
      <c r="HE42" s="2">
        <v>277.07</v>
      </c>
      <c r="HF42" s="2">
        <v>270.63</v>
      </c>
      <c r="HG42" s="2">
        <v>270.42</v>
      </c>
      <c r="HH42" s="2">
        <v>270.61</v>
      </c>
      <c r="HI42" s="2">
        <v>268.72000000000003</v>
      </c>
      <c r="HJ42" s="2">
        <v>271.83999999999997</v>
      </c>
      <c r="HK42" s="2">
        <v>271.74</v>
      </c>
      <c r="HL42" s="2">
        <v>272.24</v>
      </c>
      <c r="HM42" s="2">
        <v>267.26</v>
      </c>
      <c r="HN42" s="2">
        <v>267.83999999999997</v>
      </c>
      <c r="HO42" s="2">
        <v>267.51</v>
      </c>
      <c r="HP42" s="2">
        <v>266.61</v>
      </c>
      <c r="HQ42" s="2">
        <v>264.49</v>
      </c>
      <c r="HR42" s="2">
        <v>268.69</v>
      </c>
      <c r="HS42" s="2">
        <v>264.55</v>
      </c>
      <c r="HT42" s="2">
        <v>260.13</v>
      </c>
      <c r="HU42" s="2">
        <v>257.39999999999998</v>
      </c>
      <c r="HV42" s="2">
        <v>261.95</v>
      </c>
      <c r="HW42" s="2">
        <v>261.95</v>
      </c>
      <c r="HX42" s="2">
        <v>265.94</v>
      </c>
      <c r="HY42" s="2">
        <v>267.54000000000002</v>
      </c>
      <c r="HZ42" s="2">
        <v>269.11</v>
      </c>
      <c r="IA42" s="2">
        <v>268.94</v>
      </c>
      <c r="IB42" s="2">
        <v>269</v>
      </c>
      <c r="IC42" s="2">
        <v>271.02</v>
      </c>
      <c r="ID42" s="2">
        <v>272.36</v>
      </c>
      <c r="IE42" s="2">
        <v>274.12</v>
      </c>
      <c r="IF42" s="2">
        <v>273.76</v>
      </c>
      <c r="IG42" s="2">
        <v>273.77999999999997</v>
      </c>
      <c r="IH42" s="2">
        <v>274.45</v>
      </c>
      <c r="II42" s="2">
        <v>274.41000000000003</v>
      </c>
      <c r="IJ42" s="2">
        <v>274.74</v>
      </c>
      <c r="IK42" s="2">
        <v>276.86</v>
      </c>
      <c r="IL42" s="2">
        <v>277.85000000000002</v>
      </c>
      <c r="IM42" s="2">
        <v>277.36</v>
      </c>
      <c r="IN42" s="2">
        <v>273.18</v>
      </c>
      <c r="IO42" s="2">
        <v>279.41000000000003</v>
      </c>
      <c r="IP42" s="2">
        <v>274.87</v>
      </c>
      <c r="IQ42" s="2">
        <v>274.97000000000003</v>
      </c>
      <c r="IR42" s="2">
        <v>273.26</v>
      </c>
    </row>
    <row r="43" spans="1:252" ht="23.25" customHeight="1" x14ac:dyDescent="0.3">
      <c r="A43" s="4" t="s">
        <v>298</v>
      </c>
      <c r="B43" s="4">
        <v>42</v>
      </c>
      <c r="C43" s="4" t="s">
        <v>336</v>
      </c>
      <c r="D43" s="3" t="s">
        <v>300</v>
      </c>
      <c r="E43" s="3" t="s">
        <v>301</v>
      </c>
      <c r="F43" s="2">
        <v>1.38</v>
      </c>
      <c r="G43" s="2">
        <v>1.39</v>
      </c>
      <c r="H43" s="2">
        <v>1.39</v>
      </c>
      <c r="I43" s="2">
        <v>1.38</v>
      </c>
      <c r="J43" s="2">
        <v>1.37</v>
      </c>
      <c r="K43" s="2">
        <v>1.37</v>
      </c>
      <c r="L43" s="2">
        <v>1.38</v>
      </c>
      <c r="M43" s="2">
        <v>1.38</v>
      </c>
      <c r="N43" s="2">
        <v>1.38</v>
      </c>
      <c r="O43" s="2">
        <v>1.37</v>
      </c>
      <c r="P43" s="2">
        <v>1.37</v>
      </c>
      <c r="Q43" s="2">
        <v>1.36</v>
      </c>
      <c r="R43" s="2">
        <v>1.36</v>
      </c>
      <c r="S43" s="2">
        <v>1.36</v>
      </c>
      <c r="T43" s="2">
        <v>1.36</v>
      </c>
      <c r="U43" s="2">
        <v>1.36</v>
      </c>
      <c r="V43" s="2">
        <v>1.35</v>
      </c>
      <c r="W43" s="2">
        <v>1.35</v>
      </c>
      <c r="X43" s="2">
        <v>1.35</v>
      </c>
      <c r="Y43" s="2">
        <v>1.36</v>
      </c>
      <c r="Z43" s="2">
        <v>1.37</v>
      </c>
      <c r="AA43" s="2">
        <v>1.37</v>
      </c>
      <c r="AB43" s="2">
        <v>1.37</v>
      </c>
      <c r="AC43" s="2">
        <v>1.36</v>
      </c>
      <c r="AD43" s="2">
        <v>1.36</v>
      </c>
      <c r="AE43" s="2">
        <v>1.36</v>
      </c>
      <c r="AF43" s="2">
        <v>1.37</v>
      </c>
      <c r="AG43" s="2">
        <v>1.36</v>
      </c>
      <c r="AH43" s="2">
        <v>1.36</v>
      </c>
      <c r="AI43" s="2">
        <v>1.36</v>
      </c>
      <c r="AJ43" s="2">
        <v>1.36</v>
      </c>
      <c r="AK43" s="2">
        <v>1.35</v>
      </c>
      <c r="AL43" s="2">
        <v>1.36</v>
      </c>
      <c r="AM43" s="2">
        <v>1.37</v>
      </c>
      <c r="AN43" s="2">
        <v>1.37</v>
      </c>
      <c r="AO43" s="2">
        <v>1.37</v>
      </c>
      <c r="AP43" s="2">
        <v>1.37</v>
      </c>
      <c r="AQ43" s="2">
        <v>1.37</v>
      </c>
      <c r="AR43" s="2">
        <v>1.37</v>
      </c>
      <c r="AS43" s="2">
        <v>1.37</v>
      </c>
      <c r="AT43" s="2">
        <v>1.37</v>
      </c>
      <c r="AU43" s="2">
        <v>1.37</v>
      </c>
      <c r="AV43" s="2">
        <v>1.37</v>
      </c>
      <c r="AW43" s="2">
        <v>1.37</v>
      </c>
      <c r="AX43" s="2">
        <v>1.34</v>
      </c>
      <c r="AY43" s="2">
        <v>1.36</v>
      </c>
      <c r="AZ43" s="2">
        <v>1.37</v>
      </c>
      <c r="BA43" s="2">
        <v>1.38</v>
      </c>
      <c r="BB43" s="2">
        <v>1.36</v>
      </c>
      <c r="BC43" s="2">
        <v>1.35</v>
      </c>
      <c r="BD43" s="2">
        <v>1.19</v>
      </c>
      <c r="BE43" s="2">
        <v>1.19</v>
      </c>
      <c r="BF43" s="2">
        <v>1.25</v>
      </c>
      <c r="BG43" s="2">
        <v>1.25</v>
      </c>
      <c r="BH43" s="2">
        <v>1.25</v>
      </c>
      <c r="BI43" s="2">
        <v>1.3</v>
      </c>
      <c r="BJ43" s="2">
        <v>1.29</v>
      </c>
      <c r="BK43" s="2">
        <v>1.23</v>
      </c>
      <c r="BL43" s="2">
        <v>1.22</v>
      </c>
      <c r="BM43" s="2">
        <v>1.23</v>
      </c>
      <c r="BN43" s="2">
        <v>1.22</v>
      </c>
      <c r="BO43" s="2">
        <v>1.23</v>
      </c>
      <c r="BP43" s="2">
        <v>1.22</v>
      </c>
      <c r="BQ43" s="2">
        <v>1.19</v>
      </c>
      <c r="BR43" s="2">
        <v>1.22</v>
      </c>
      <c r="BS43" s="2">
        <v>1.25</v>
      </c>
      <c r="BT43" s="2">
        <v>1.25</v>
      </c>
      <c r="BU43" s="2">
        <v>1.24</v>
      </c>
      <c r="BV43" s="2">
        <v>1.26</v>
      </c>
      <c r="BW43" s="2">
        <v>1.25</v>
      </c>
      <c r="BX43" s="2">
        <v>1.23</v>
      </c>
      <c r="BY43" s="2">
        <v>1.22</v>
      </c>
      <c r="BZ43" s="2">
        <v>1.23</v>
      </c>
      <c r="CA43" s="2">
        <v>1.22</v>
      </c>
      <c r="CB43" s="2">
        <v>1.21</v>
      </c>
      <c r="CC43" s="2">
        <v>1.21</v>
      </c>
      <c r="CD43" s="2">
        <v>1.22</v>
      </c>
      <c r="CE43" s="2">
        <v>1.19</v>
      </c>
      <c r="CF43" s="2">
        <v>1.18</v>
      </c>
      <c r="CG43" s="2">
        <v>1.18</v>
      </c>
      <c r="CH43" s="2">
        <v>1.17</v>
      </c>
      <c r="CI43" s="2">
        <v>1.1599999999999999</v>
      </c>
      <c r="CJ43" s="2">
        <v>1.1599999999999999</v>
      </c>
      <c r="CK43" s="2">
        <v>1.1599999999999999</v>
      </c>
      <c r="CL43" s="2">
        <v>1.1499999999999999</v>
      </c>
      <c r="CM43" s="2">
        <v>1.1499999999999999</v>
      </c>
      <c r="CN43" s="2">
        <v>1.1399999999999999</v>
      </c>
      <c r="CO43" s="2">
        <v>1.1599999999999999</v>
      </c>
      <c r="CP43" s="2">
        <v>1.1499999999999999</v>
      </c>
      <c r="CQ43" s="2">
        <v>1.1599999999999999</v>
      </c>
      <c r="CR43" s="2">
        <v>1.1499999999999999</v>
      </c>
      <c r="CS43" s="2">
        <v>1.17</v>
      </c>
      <c r="CT43" s="2">
        <v>1.2</v>
      </c>
      <c r="CU43" s="2">
        <v>1.18</v>
      </c>
      <c r="CV43" s="2">
        <v>1.18</v>
      </c>
      <c r="CW43" s="2">
        <v>1.18</v>
      </c>
      <c r="CX43" s="2">
        <v>1.1599999999999999</v>
      </c>
      <c r="CY43" s="2">
        <v>1.1399999999999999</v>
      </c>
      <c r="CZ43" s="2">
        <v>1.1399999999999999</v>
      </c>
      <c r="DA43" s="2">
        <v>1.1399999999999999</v>
      </c>
      <c r="DB43" s="2">
        <v>1.1200000000000001</v>
      </c>
      <c r="DC43" s="2">
        <v>1.1100000000000001</v>
      </c>
      <c r="DD43" s="2">
        <v>1.1100000000000001</v>
      </c>
      <c r="DE43" s="2">
        <v>1.1000000000000001</v>
      </c>
      <c r="DF43" s="2">
        <v>1.1000000000000001</v>
      </c>
      <c r="DG43" s="2">
        <v>1.08</v>
      </c>
      <c r="DH43" s="2">
        <v>1.0900000000000001</v>
      </c>
      <c r="DI43" s="2">
        <v>1.1000000000000001</v>
      </c>
      <c r="DJ43" s="2">
        <v>1.0900000000000001</v>
      </c>
      <c r="DK43" s="2">
        <v>1.0900000000000001</v>
      </c>
      <c r="DL43" s="2">
        <v>1.08</v>
      </c>
      <c r="DM43" s="2">
        <v>1.1000000000000001</v>
      </c>
      <c r="DN43" s="2">
        <v>1.1000000000000001</v>
      </c>
      <c r="DO43" s="2">
        <v>1.0900000000000001</v>
      </c>
      <c r="DP43" s="2">
        <v>1.08</v>
      </c>
      <c r="DQ43" s="2">
        <v>1.0900000000000001</v>
      </c>
      <c r="DR43" s="2">
        <v>1.1000000000000001</v>
      </c>
      <c r="DS43" s="2">
        <v>1.1000000000000001</v>
      </c>
      <c r="DT43" s="2">
        <v>1.08</v>
      </c>
      <c r="DU43" s="2">
        <v>1.07</v>
      </c>
      <c r="DV43" s="2">
        <v>1.07</v>
      </c>
      <c r="DW43" s="2">
        <v>1.08</v>
      </c>
      <c r="DX43" s="2">
        <v>1.05</v>
      </c>
      <c r="DY43" s="2">
        <v>1.01</v>
      </c>
      <c r="DZ43" s="2">
        <v>1.03</v>
      </c>
      <c r="EA43" s="2">
        <v>1.02</v>
      </c>
      <c r="EB43" s="2">
        <v>1.04</v>
      </c>
      <c r="EC43" s="2">
        <v>1.04</v>
      </c>
      <c r="ED43" s="2">
        <v>1.04</v>
      </c>
      <c r="EE43" s="2">
        <v>1.05</v>
      </c>
      <c r="EF43" s="2">
        <v>1.05</v>
      </c>
      <c r="EG43" s="2">
        <v>1.06</v>
      </c>
      <c r="EH43" s="2">
        <v>1.05</v>
      </c>
      <c r="EI43" s="2">
        <v>1.06</v>
      </c>
      <c r="EJ43" s="2">
        <v>1.07</v>
      </c>
      <c r="EK43" s="2">
        <v>1.08</v>
      </c>
      <c r="EL43" s="2">
        <v>1.07</v>
      </c>
      <c r="EM43" s="2">
        <v>1.06</v>
      </c>
      <c r="EN43" s="2">
        <v>1.06</v>
      </c>
      <c r="EO43" s="2">
        <v>1.02</v>
      </c>
      <c r="EP43" s="2">
        <v>1.03</v>
      </c>
      <c r="EQ43" s="2">
        <v>1.03</v>
      </c>
      <c r="ER43" s="2">
        <v>1.04</v>
      </c>
      <c r="ES43" s="2">
        <v>1.03</v>
      </c>
      <c r="ET43" s="2">
        <v>1.01</v>
      </c>
      <c r="EU43" s="2">
        <v>1.02</v>
      </c>
      <c r="EV43" s="2">
        <v>1.02</v>
      </c>
      <c r="EW43" s="2">
        <v>1.02</v>
      </c>
      <c r="EX43" s="2">
        <v>1.02</v>
      </c>
      <c r="EY43" s="2">
        <v>0.98</v>
      </c>
      <c r="EZ43" s="2">
        <v>0.98</v>
      </c>
      <c r="FA43" s="2">
        <v>0.97</v>
      </c>
      <c r="FB43" s="2">
        <v>0.97</v>
      </c>
      <c r="FC43" s="2">
        <v>0.95</v>
      </c>
      <c r="FD43" s="2">
        <v>0.95</v>
      </c>
      <c r="FE43" s="2">
        <v>0.94</v>
      </c>
      <c r="FF43" s="2">
        <v>0.94</v>
      </c>
      <c r="FG43" s="2">
        <v>0.94</v>
      </c>
      <c r="FH43" s="2">
        <v>0.94</v>
      </c>
      <c r="FI43" s="2">
        <v>0.99</v>
      </c>
      <c r="FJ43" s="2">
        <v>1.02</v>
      </c>
      <c r="FK43" s="2">
        <v>1.04</v>
      </c>
      <c r="FL43" s="2">
        <v>1.05</v>
      </c>
      <c r="FM43" s="2">
        <v>1.06</v>
      </c>
      <c r="FN43" s="2">
        <v>1.03</v>
      </c>
      <c r="FO43" s="2">
        <v>1.02</v>
      </c>
      <c r="FP43" s="2">
        <v>0.99</v>
      </c>
      <c r="FQ43" s="2">
        <v>0.99</v>
      </c>
      <c r="FR43" s="2">
        <v>1</v>
      </c>
      <c r="FS43" s="2">
        <v>1.06</v>
      </c>
      <c r="FT43" s="2">
        <v>1.05</v>
      </c>
      <c r="FU43" s="2">
        <v>1.05</v>
      </c>
      <c r="FV43" s="2">
        <v>1.01</v>
      </c>
      <c r="FW43" s="2">
        <v>0.97</v>
      </c>
      <c r="FX43" s="2">
        <v>0.96</v>
      </c>
      <c r="FY43" s="2">
        <v>0.96</v>
      </c>
      <c r="FZ43" s="2">
        <v>0.96</v>
      </c>
      <c r="GA43" s="2">
        <v>0.97</v>
      </c>
      <c r="GB43" s="2">
        <v>0.96</v>
      </c>
      <c r="GC43" s="2">
        <v>1</v>
      </c>
      <c r="GD43" s="2">
        <v>0.97</v>
      </c>
      <c r="GE43" s="2">
        <v>1</v>
      </c>
      <c r="GF43" s="2">
        <v>0.99</v>
      </c>
      <c r="GG43" s="2">
        <v>0.99</v>
      </c>
      <c r="GH43" s="2">
        <v>0.97</v>
      </c>
      <c r="GI43" s="2">
        <v>0.99</v>
      </c>
      <c r="GJ43" s="2">
        <v>1</v>
      </c>
      <c r="GK43" s="2">
        <v>1</v>
      </c>
      <c r="GL43" s="2">
        <v>1.03</v>
      </c>
      <c r="GM43" s="2">
        <v>1.02</v>
      </c>
      <c r="GN43" s="2">
        <v>1.04</v>
      </c>
      <c r="GO43" s="2">
        <v>1.04</v>
      </c>
      <c r="GP43" s="2">
        <v>1.04</v>
      </c>
      <c r="GQ43" s="2">
        <v>1.04</v>
      </c>
      <c r="GR43" s="2">
        <v>1.05</v>
      </c>
      <c r="GS43" s="2">
        <v>1.05</v>
      </c>
      <c r="GT43" s="2">
        <v>1.04</v>
      </c>
      <c r="GU43" s="2">
        <v>1.03</v>
      </c>
      <c r="GV43" s="2">
        <v>1.03</v>
      </c>
      <c r="GW43" s="2">
        <v>1.03</v>
      </c>
      <c r="GX43" s="2">
        <v>1.02</v>
      </c>
      <c r="GY43" s="2">
        <v>1.01</v>
      </c>
      <c r="GZ43" s="2">
        <v>1.01</v>
      </c>
      <c r="HA43" s="2">
        <v>1.01</v>
      </c>
      <c r="HB43" s="2">
        <v>1.01</v>
      </c>
      <c r="HC43" s="2">
        <v>1.01</v>
      </c>
      <c r="HD43" s="2">
        <v>1.01</v>
      </c>
      <c r="HE43" s="2">
        <v>1.02</v>
      </c>
      <c r="HF43" s="2">
        <v>1.03</v>
      </c>
      <c r="HG43" s="2">
        <v>1.02</v>
      </c>
      <c r="HH43" s="2">
        <v>1.02</v>
      </c>
      <c r="HI43" s="2">
        <v>1.02</v>
      </c>
      <c r="HJ43" s="2">
        <v>1.02</v>
      </c>
      <c r="HK43" s="2">
        <v>1.02</v>
      </c>
      <c r="HL43" s="2">
        <v>1.02</v>
      </c>
      <c r="HM43" s="2">
        <v>1.02</v>
      </c>
      <c r="HN43" s="2">
        <v>1.02</v>
      </c>
      <c r="HO43" s="2">
        <v>1.02</v>
      </c>
      <c r="HP43" s="2">
        <v>1.02</v>
      </c>
      <c r="HQ43" s="2">
        <v>1.02</v>
      </c>
      <c r="HR43" s="2">
        <v>1.02</v>
      </c>
      <c r="HS43" s="2">
        <v>1.01</v>
      </c>
      <c r="HT43" s="2">
        <v>0.99</v>
      </c>
      <c r="HU43" s="2">
        <v>0.98</v>
      </c>
      <c r="HV43" s="2">
        <v>0.99</v>
      </c>
      <c r="HW43" s="2">
        <v>0.99</v>
      </c>
      <c r="HX43" s="2">
        <v>0.98</v>
      </c>
      <c r="HY43" s="2">
        <v>0.98</v>
      </c>
      <c r="HZ43" s="2">
        <v>0.99</v>
      </c>
      <c r="IA43" s="2">
        <v>0.99</v>
      </c>
      <c r="IB43" s="2">
        <v>0.99</v>
      </c>
      <c r="IC43" s="2">
        <v>0.99</v>
      </c>
      <c r="ID43" s="2">
        <v>1</v>
      </c>
      <c r="IE43" s="2">
        <v>1.01</v>
      </c>
      <c r="IF43" s="2">
        <v>1.02</v>
      </c>
      <c r="IG43" s="2">
        <v>1.02</v>
      </c>
      <c r="IH43" s="2">
        <v>1.03</v>
      </c>
      <c r="II43" s="2">
        <v>1.03</v>
      </c>
      <c r="IJ43" s="2">
        <v>1.03</v>
      </c>
      <c r="IK43" s="2">
        <v>1.03</v>
      </c>
      <c r="IL43" s="2">
        <v>1.03</v>
      </c>
      <c r="IM43" s="2">
        <v>1.02</v>
      </c>
      <c r="IN43" s="2">
        <v>1</v>
      </c>
      <c r="IO43" s="2">
        <v>1</v>
      </c>
      <c r="IP43" s="2">
        <v>0.99</v>
      </c>
      <c r="IQ43" s="2">
        <v>0.99</v>
      </c>
      <c r="IR43" s="2">
        <v>0.99</v>
      </c>
    </row>
    <row r="44" spans="1:252" ht="23.25" customHeight="1" x14ac:dyDescent="0.3">
      <c r="A44" s="4" t="s">
        <v>298</v>
      </c>
      <c r="B44" s="4">
        <v>16</v>
      </c>
      <c r="C44" s="4" t="s">
        <v>337</v>
      </c>
      <c r="D44" s="3" t="s">
        <v>300</v>
      </c>
      <c r="E44" s="3" t="s">
        <v>301</v>
      </c>
      <c r="F44" s="2">
        <v>129.53</v>
      </c>
      <c r="G44" s="2">
        <v>132.82</v>
      </c>
      <c r="H44" s="2">
        <v>133.12</v>
      </c>
      <c r="I44" s="2">
        <v>132.91</v>
      </c>
      <c r="J44" s="2">
        <v>132.71</v>
      </c>
      <c r="K44" s="2">
        <v>131.83000000000001</v>
      </c>
      <c r="L44" s="2">
        <v>132.96</v>
      </c>
      <c r="M44" s="2">
        <v>133.85</v>
      </c>
      <c r="N44" s="2">
        <v>133.44999999999999</v>
      </c>
      <c r="O44" s="2">
        <v>135.16</v>
      </c>
      <c r="P44" s="2">
        <v>134.9</v>
      </c>
      <c r="Q44" s="2">
        <v>134.68</v>
      </c>
      <c r="R44" s="2">
        <v>134.66</v>
      </c>
      <c r="S44" s="2">
        <v>134.29</v>
      </c>
      <c r="T44" s="2">
        <v>135.46</v>
      </c>
      <c r="U44" s="2">
        <v>134.93</v>
      </c>
      <c r="V44" s="2">
        <v>133.97999999999999</v>
      </c>
      <c r="W44" s="2">
        <v>135.03</v>
      </c>
      <c r="X44" s="2">
        <v>134.49</v>
      </c>
      <c r="Y44" s="2">
        <v>133.84</v>
      </c>
      <c r="Z44" s="2">
        <v>138.74</v>
      </c>
      <c r="AA44" s="2">
        <v>140.28</v>
      </c>
      <c r="AB44" s="2">
        <v>142.85</v>
      </c>
      <c r="AC44" s="2">
        <v>141.81</v>
      </c>
      <c r="AD44" s="2">
        <v>143.41999999999999</v>
      </c>
      <c r="AE44" s="2">
        <v>143.41</v>
      </c>
      <c r="AF44" s="2">
        <v>145.69999999999999</v>
      </c>
      <c r="AG44" s="2">
        <v>143.88999999999999</v>
      </c>
      <c r="AH44" s="2">
        <v>142.44</v>
      </c>
      <c r="AI44" s="2">
        <v>143.52000000000001</v>
      </c>
      <c r="AJ44" s="2">
        <v>143.41999999999999</v>
      </c>
      <c r="AK44" s="2">
        <v>144.05000000000001</v>
      </c>
      <c r="AL44" s="2">
        <v>143.79</v>
      </c>
      <c r="AM44" s="2">
        <v>144.07</v>
      </c>
      <c r="AN44" s="2">
        <v>144.74</v>
      </c>
      <c r="AO44" s="2">
        <v>145.19</v>
      </c>
      <c r="AP44" s="2">
        <v>146.41</v>
      </c>
      <c r="AQ44" s="2">
        <v>145.41999999999999</v>
      </c>
      <c r="AR44" s="2">
        <v>146.72</v>
      </c>
      <c r="AS44" s="2">
        <v>146.44</v>
      </c>
      <c r="AT44" s="2">
        <v>146.43</v>
      </c>
      <c r="AU44" s="2">
        <v>146.94</v>
      </c>
      <c r="AV44" s="2">
        <v>148.30000000000001</v>
      </c>
      <c r="AW44" s="2">
        <v>149.96</v>
      </c>
      <c r="AX44" s="2">
        <v>143.82</v>
      </c>
      <c r="AY44" s="2">
        <v>145.47999999999999</v>
      </c>
      <c r="AZ44" s="2">
        <v>147.05000000000001</v>
      </c>
      <c r="BA44" s="2">
        <v>148.72999999999999</v>
      </c>
      <c r="BB44" s="2">
        <v>147.91</v>
      </c>
      <c r="BC44" s="2">
        <v>148.43</v>
      </c>
      <c r="BD44" s="2">
        <v>145.94</v>
      </c>
      <c r="BE44" s="2">
        <v>144.08000000000001</v>
      </c>
      <c r="BF44" s="2">
        <v>146.41999999999999</v>
      </c>
      <c r="BG44" s="2">
        <v>147.62</v>
      </c>
      <c r="BH44" s="2">
        <v>148.55000000000001</v>
      </c>
      <c r="BI44" s="2">
        <v>148.96</v>
      </c>
      <c r="BJ44" s="2">
        <v>147.51</v>
      </c>
      <c r="BK44" s="2">
        <v>147.28</v>
      </c>
      <c r="BL44" s="2">
        <v>149</v>
      </c>
      <c r="BM44" s="2">
        <v>147.74</v>
      </c>
      <c r="BN44" s="2">
        <v>149.99</v>
      </c>
      <c r="BO44" s="2">
        <v>149.22</v>
      </c>
      <c r="BP44" s="2">
        <v>146.47999999999999</v>
      </c>
      <c r="BQ44" s="2">
        <v>148.99</v>
      </c>
      <c r="BR44" s="2">
        <v>144.21</v>
      </c>
      <c r="BS44" s="2">
        <v>143.34</v>
      </c>
      <c r="BT44" s="2">
        <v>144.62</v>
      </c>
      <c r="BU44" s="2">
        <v>142.56</v>
      </c>
      <c r="BV44" s="2">
        <v>145.35</v>
      </c>
      <c r="BW44" s="2">
        <v>145.19</v>
      </c>
      <c r="BX44" s="2">
        <v>143.71</v>
      </c>
      <c r="BY44" s="2">
        <v>143.16</v>
      </c>
      <c r="BZ44" s="2">
        <v>144.28</v>
      </c>
      <c r="CA44" s="2">
        <v>144.41</v>
      </c>
      <c r="CB44" s="2">
        <v>144.68</v>
      </c>
      <c r="CC44" s="2">
        <v>142.97999999999999</v>
      </c>
      <c r="CD44" s="2">
        <v>144.77000000000001</v>
      </c>
      <c r="CE44" s="2">
        <v>143.5</v>
      </c>
      <c r="CF44" s="2">
        <v>142.24</v>
      </c>
      <c r="CG44" s="2">
        <v>142.38999999999999</v>
      </c>
      <c r="CH44" s="2">
        <v>144.6</v>
      </c>
      <c r="CI44" s="2">
        <v>143.63</v>
      </c>
      <c r="CJ44" s="2">
        <v>143.09</v>
      </c>
      <c r="CK44" s="2">
        <v>143.34</v>
      </c>
      <c r="CL44" s="2">
        <v>141.38</v>
      </c>
      <c r="CM44" s="2">
        <v>141.71</v>
      </c>
      <c r="CN44" s="2">
        <v>141.69999999999999</v>
      </c>
      <c r="CO44" s="2">
        <v>143.38</v>
      </c>
      <c r="CP44" s="2">
        <v>144.38</v>
      </c>
      <c r="CQ44" s="2">
        <v>143.93</v>
      </c>
      <c r="CR44" s="2">
        <v>143.74</v>
      </c>
      <c r="CS44" s="2">
        <v>142.51</v>
      </c>
      <c r="CT44" s="2">
        <v>142.46</v>
      </c>
      <c r="CU44" s="2">
        <v>143.22999999999999</v>
      </c>
      <c r="CV44" s="2">
        <v>141.15</v>
      </c>
      <c r="CW44" s="2">
        <v>144.16999999999999</v>
      </c>
      <c r="CX44" s="2">
        <v>143.29</v>
      </c>
      <c r="CY44" s="2">
        <v>143.57</v>
      </c>
      <c r="CZ44" s="2">
        <v>142.63999999999999</v>
      </c>
      <c r="DA44" s="2">
        <v>143.22</v>
      </c>
      <c r="DB44" s="2">
        <v>143.08000000000001</v>
      </c>
      <c r="DC44" s="2">
        <v>142.66</v>
      </c>
      <c r="DD44" s="2">
        <v>142.81</v>
      </c>
      <c r="DE44" s="2">
        <v>141.77000000000001</v>
      </c>
      <c r="DF44" s="2">
        <v>142.72</v>
      </c>
      <c r="DG44" s="2">
        <v>143.72</v>
      </c>
      <c r="DH44" s="2">
        <v>143.72</v>
      </c>
      <c r="DI44" s="2">
        <v>144.46</v>
      </c>
      <c r="DJ44" s="2">
        <v>144.54</v>
      </c>
      <c r="DK44" s="2">
        <v>143.51</v>
      </c>
      <c r="DL44" s="2">
        <v>143.36000000000001</v>
      </c>
      <c r="DM44" s="2">
        <v>142.22</v>
      </c>
      <c r="DN44" s="2">
        <v>142.83000000000001</v>
      </c>
      <c r="DO44" s="2">
        <v>142.93</v>
      </c>
      <c r="DP44" s="2">
        <v>144.07</v>
      </c>
      <c r="DQ44" s="2">
        <v>145.34</v>
      </c>
      <c r="DR44" s="2">
        <v>145.63999999999999</v>
      </c>
      <c r="DS44" s="2">
        <v>145.08000000000001</v>
      </c>
      <c r="DT44" s="2">
        <v>143.6</v>
      </c>
      <c r="DU44" s="2">
        <v>144.81</v>
      </c>
      <c r="DV44" s="2">
        <v>143.58000000000001</v>
      </c>
      <c r="DW44" s="2">
        <v>144.18</v>
      </c>
      <c r="DX44" s="2">
        <v>141.28</v>
      </c>
      <c r="DY44" s="2">
        <v>142.05000000000001</v>
      </c>
      <c r="DZ44" s="2">
        <v>144.97</v>
      </c>
      <c r="EA44" s="2">
        <v>143.46</v>
      </c>
      <c r="EB44" s="2">
        <v>143.30000000000001</v>
      </c>
      <c r="EC44" s="2">
        <v>144.66</v>
      </c>
      <c r="ED44" s="2">
        <v>144.94999999999999</v>
      </c>
      <c r="EE44" s="2">
        <v>144.63</v>
      </c>
      <c r="EF44" s="2">
        <v>144.04</v>
      </c>
      <c r="EG44" s="2">
        <v>145.58000000000001</v>
      </c>
      <c r="EH44" s="2">
        <v>144.94999999999999</v>
      </c>
      <c r="EI44" s="2">
        <v>144.72999999999999</v>
      </c>
      <c r="EJ44" s="2">
        <v>144.86000000000001</v>
      </c>
      <c r="EK44" s="2">
        <v>144.72999999999999</v>
      </c>
      <c r="EL44" s="2">
        <v>145.65</v>
      </c>
      <c r="EM44" s="2">
        <v>145.31</v>
      </c>
      <c r="EN44" s="2">
        <v>146.85</v>
      </c>
      <c r="EO44" s="2">
        <v>144.51</v>
      </c>
      <c r="EP44" s="2">
        <v>145.5</v>
      </c>
      <c r="EQ44" s="2">
        <v>146.41999999999999</v>
      </c>
      <c r="ER44" s="2">
        <v>146.46</v>
      </c>
      <c r="ES44" s="2">
        <v>146.69999999999999</v>
      </c>
      <c r="ET44" s="2">
        <v>148.30000000000001</v>
      </c>
      <c r="EU44" s="2">
        <v>147.08000000000001</v>
      </c>
      <c r="EV44" s="2">
        <v>147.79</v>
      </c>
      <c r="EW44" s="2">
        <v>147.12</v>
      </c>
      <c r="EX44" s="2">
        <v>148.13</v>
      </c>
      <c r="EY44" s="2">
        <v>148.6</v>
      </c>
      <c r="EZ44" s="2">
        <v>147.88</v>
      </c>
      <c r="FA44" s="2">
        <v>148.5</v>
      </c>
      <c r="FB44" s="2">
        <v>149.26</v>
      </c>
      <c r="FC44" s="2">
        <v>148.88999999999999</v>
      </c>
      <c r="FD44" s="2">
        <v>149.76</v>
      </c>
      <c r="FE44" s="2">
        <v>149.79</v>
      </c>
      <c r="FF44" s="2">
        <v>148.47999999999999</v>
      </c>
      <c r="FG44" s="2">
        <v>148.04</v>
      </c>
      <c r="FH44" s="2">
        <v>148.01</v>
      </c>
      <c r="FI44" s="2">
        <v>149.05000000000001</v>
      </c>
      <c r="FJ44" s="2">
        <v>149.26</v>
      </c>
      <c r="FK44" s="2">
        <v>148.31</v>
      </c>
      <c r="FL44" s="2">
        <v>147.99</v>
      </c>
      <c r="FM44" s="2">
        <v>150.06</v>
      </c>
      <c r="FN44" s="2">
        <v>148.82</v>
      </c>
      <c r="FO44" s="2">
        <v>149.11000000000001</v>
      </c>
      <c r="FP44" s="2">
        <v>149.94999999999999</v>
      </c>
      <c r="FQ44" s="2">
        <v>146.97999999999999</v>
      </c>
      <c r="FR44" s="2">
        <v>149.41</v>
      </c>
      <c r="FS44" s="2">
        <v>150.16</v>
      </c>
      <c r="FT44" s="2">
        <v>149.72</v>
      </c>
      <c r="FU44" s="2">
        <v>150.34</v>
      </c>
      <c r="FV44" s="2">
        <v>150.66</v>
      </c>
      <c r="FW44" s="2">
        <v>150.71</v>
      </c>
      <c r="FX44" s="2">
        <v>150.77000000000001</v>
      </c>
      <c r="FY44" s="2">
        <v>151.05000000000001</v>
      </c>
      <c r="FZ44" s="2">
        <v>151.97</v>
      </c>
      <c r="GA44" s="2">
        <v>153.01</v>
      </c>
      <c r="GB44" s="2">
        <v>152.96</v>
      </c>
      <c r="GC44" s="2">
        <v>152.72999999999999</v>
      </c>
      <c r="GD44" s="2">
        <v>152.96</v>
      </c>
      <c r="GE44" s="2">
        <v>152.28</v>
      </c>
      <c r="GF44" s="2">
        <v>150.75</v>
      </c>
      <c r="GG44" s="2">
        <v>150.36000000000001</v>
      </c>
      <c r="GH44" s="2">
        <v>150.65</v>
      </c>
      <c r="GI44" s="2">
        <v>150.06</v>
      </c>
      <c r="GJ44" s="2">
        <v>151.4</v>
      </c>
      <c r="GK44" s="2">
        <v>151.06</v>
      </c>
      <c r="GL44" s="2">
        <v>152.32</v>
      </c>
      <c r="GM44" s="2">
        <v>152.77000000000001</v>
      </c>
      <c r="GN44" s="2">
        <v>154.75</v>
      </c>
      <c r="GO44" s="2">
        <v>155.18</v>
      </c>
      <c r="GP44" s="2">
        <v>156.21</v>
      </c>
      <c r="GQ44" s="2">
        <v>154.38999999999999</v>
      </c>
      <c r="GR44" s="2">
        <v>153.91</v>
      </c>
      <c r="GS44" s="2">
        <v>154.66999999999999</v>
      </c>
      <c r="GT44" s="2">
        <v>153.47999999999999</v>
      </c>
      <c r="GU44" s="2">
        <v>153.66</v>
      </c>
      <c r="GV44" s="2">
        <v>154.16</v>
      </c>
      <c r="GW44" s="2">
        <v>154.33000000000001</v>
      </c>
      <c r="GX44" s="2">
        <v>154.65</v>
      </c>
      <c r="GY44" s="2">
        <v>154.09</v>
      </c>
      <c r="GZ44" s="2">
        <v>154.59</v>
      </c>
      <c r="HA44" s="2">
        <v>155.28</v>
      </c>
      <c r="HB44" s="2">
        <v>155.43</v>
      </c>
      <c r="HC44" s="2">
        <v>155.85</v>
      </c>
      <c r="HD44" s="2">
        <v>156.66999999999999</v>
      </c>
      <c r="HE44" s="2">
        <v>156.11000000000001</v>
      </c>
      <c r="HF44" s="2">
        <v>156.55000000000001</v>
      </c>
      <c r="HG44" s="2">
        <v>156.33000000000001</v>
      </c>
      <c r="HH44" s="2">
        <v>157.04</v>
      </c>
      <c r="HI44" s="2">
        <v>158.71</v>
      </c>
      <c r="HJ44" s="2">
        <v>158.84</v>
      </c>
      <c r="HK44" s="2">
        <v>158.69999999999999</v>
      </c>
      <c r="HL44" s="2">
        <v>158.81</v>
      </c>
      <c r="HM44" s="2">
        <v>158.29</v>
      </c>
      <c r="HN44" s="2">
        <v>158.91999999999999</v>
      </c>
      <c r="HO44" s="2">
        <v>159.16999999999999</v>
      </c>
      <c r="HP44" s="2">
        <v>159.38999999999999</v>
      </c>
      <c r="HQ44" s="2">
        <v>160.18</v>
      </c>
      <c r="HR44" s="2">
        <v>161.81</v>
      </c>
      <c r="HS44" s="2">
        <v>159.27000000000001</v>
      </c>
      <c r="HT44" s="2">
        <v>157.58000000000001</v>
      </c>
      <c r="HU44" s="2">
        <v>156.19</v>
      </c>
      <c r="HV44" s="2">
        <v>155.97</v>
      </c>
      <c r="HW44" s="2">
        <v>156.01</v>
      </c>
      <c r="HX44" s="2">
        <v>156.27000000000001</v>
      </c>
      <c r="HY44" s="2">
        <v>157.63</v>
      </c>
      <c r="HZ44" s="2">
        <v>157.11000000000001</v>
      </c>
      <c r="IA44" s="2">
        <v>157.65</v>
      </c>
      <c r="IB44" s="2">
        <v>157.19</v>
      </c>
      <c r="IC44" s="2">
        <v>157.91999999999999</v>
      </c>
      <c r="ID44" s="2">
        <v>159.66999999999999</v>
      </c>
      <c r="IE44" s="2">
        <v>159.68</v>
      </c>
      <c r="IF44" s="2">
        <v>160.66</v>
      </c>
      <c r="IG44" s="2">
        <v>159.37</v>
      </c>
      <c r="IH44" s="2">
        <v>159.68</v>
      </c>
      <c r="II44" s="2">
        <v>160.13</v>
      </c>
      <c r="IJ44" s="2">
        <v>161.82</v>
      </c>
      <c r="IK44" s="2">
        <v>161.61000000000001</v>
      </c>
      <c r="IL44" s="2">
        <v>163.04</v>
      </c>
      <c r="IM44" s="2">
        <v>165.44</v>
      </c>
      <c r="IN44" s="2">
        <v>161.34</v>
      </c>
      <c r="IO44" s="2">
        <v>165.11</v>
      </c>
      <c r="IP44" s="2">
        <v>161.63999999999999</v>
      </c>
      <c r="IQ44" s="2">
        <v>162.07</v>
      </c>
      <c r="IR44" s="2">
        <v>161.1</v>
      </c>
    </row>
    <row r="45" spans="1:252" ht="23.25" customHeight="1" x14ac:dyDescent="0.3">
      <c r="A45" s="4" t="s">
        <v>298</v>
      </c>
      <c r="B45" s="4">
        <v>18</v>
      </c>
      <c r="C45" s="4" t="s">
        <v>338</v>
      </c>
      <c r="D45" s="3" t="s">
        <v>300</v>
      </c>
      <c r="E45" s="3" t="s">
        <v>301</v>
      </c>
      <c r="F45" s="2">
        <v>199.88</v>
      </c>
      <c r="G45" s="2">
        <v>203.77</v>
      </c>
      <c r="H45" s="2">
        <v>203.22</v>
      </c>
      <c r="I45" s="2">
        <v>202.14</v>
      </c>
      <c r="J45" s="2">
        <v>201.41</v>
      </c>
      <c r="K45" s="2">
        <v>199.93</v>
      </c>
      <c r="L45" s="2">
        <v>200.8</v>
      </c>
      <c r="M45" s="2">
        <v>201.94</v>
      </c>
      <c r="N45" s="2">
        <v>202.27</v>
      </c>
      <c r="O45" s="2">
        <v>203.46</v>
      </c>
      <c r="P45" s="2">
        <v>202.95</v>
      </c>
      <c r="Q45" s="2">
        <v>202.51</v>
      </c>
      <c r="R45" s="2">
        <v>202.22</v>
      </c>
      <c r="S45" s="2">
        <v>201.32</v>
      </c>
      <c r="T45" s="2">
        <v>202.72</v>
      </c>
      <c r="U45" s="2">
        <v>201.46</v>
      </c>
      <c r="V45" s="2">
        <v>200.48</v>
      </c>
      <c r="W45" s="2">
        <v>201.73</v>
      </c>
      <c r="X45" s="2">
        <v>201.37</v>
      </c>
      <c r="Y45" s="2">
        <v>200.7</v>
      </c>
      <c r="Z45" s="2">
        <v>205.06</v>
      </c>
      <c r="AA45" s="2">
        <v>208.09</v>
      </c>
      <c r="AB45" s="2">
        <v>210.64</v>
      </c>
      <c r="AC45" s="2">
        <v>208.59</v>
      </c>
      <c r="AD45" s="2">
        <v>210.43</v>
      </c>
      <c r="AE45" s="2">
        <v>210.97</v>
      </c>
      <c r="AF45" s="2">
        <v>213.38</v>
      </c>
      <c r="AG45" s="2">
        <v>211.95</v>
      </c>
      <c r="AH45" s="2">
        <v>211.18</v>
      </c>
      <c r="AI45" s="2">
        <v>212.21</v>
      </c>
      <c r="AJ45" s="2">
        <v>211.93</v>
      </c>
      <c r="AK45" s="2">
        <v>212.28</v>
      </c>
      <c r="AL45" s="2">
        <v>212.36</v>
      </c>
      <c r="AM45" s="2">
        <v>212.4</v>
      </c>
      <c r="AN45" s="2">
        <v>212.77</v>
      </c>
      <c r="AO45" s="2">
        <v>212.42</v>
      </c>
      <c r="AP45" s="2">
        <v>212.48</v>
      </c>
      <c r="AQ45" s="2">
        <v>210.87</v>
      </c>
      <c r="AR45" s="2">
        <v>212.26</v>
      </c>
      <c r="AS45" s="2">
        <v>212.82</v>
      </c>
      <c r="AT45" s="2">
        <v>213.23</v>
      </c>
      <c r="AU45" s="2">
        <v>212.97</v>
      </c>
      <c r="AV45" s="2">
        <v>213.37</v>
      </c>
      <c r="AW45" s="2">
        <v>217.24</v>
      </c>
      <c r="AX45" s="2">
        <v>212</v>
      </c>
      <c r="AY45" s="2">
        <v>214.31</v>
      </c>
      <c r="AZ45" s="2">
        <v>216.05</v>
      </c>
      <c r="BA45" s="2">
        <v>217.57</v>
      </c>
      <c r="BB45" s="2">
        <v>219.04</v>
      </c>
      <c r="BC45" s="2">
        <v>220.3</v>
      </c>
      <c r="BD45" s="2">
        <v>216.94</v>
      </c>
      <c r="BE45" s="2">
        <v>215.15</v>
      </c>
      <c r="BF45" s="2">
        <v>217.87</v>
      </c>
      <c r="BG45" s="2">
        <v>216.28</v>
      </c>
      <c r="BH45" s="2">
        <v>217.81</v>
      </c>
      <c r="BI45" s="2">
        <v>218.86</v>
      </c>
      <c r="BJ45" s="2">
        <v>216.3</v>
      </c>
      <c r="BK45" s="2">
        <v>216.59</v>
      </c>
      <c r="BL45" s="2">
        <v>218.08</v>
      </c>
      <c r="BM45" s="2">
        <v>218.13</v>
      </c>
      <c r="BN45" s="2">
        <v>219.98</v>
      </c>
      <c r="BO45" s="2">
        <v>219.45</v>
      </c>
      <c r="BP45" s="2">
        <v>215.93</v>
      </c>
      <c r="BQ45" s="2">
        <v>216.75</v>
      </c>
      <c r="BR45" s="2">
        <v>211.22</v>
      </c>
      <c r="BS45" s="2">
        <v>210.06</v>
      </c>
      <c r="BT45" s="2">
        <v>211.56</v>
      </c>
      <c r="BU45" s="2">
        <v>208.21</v>
      </c>
      <c r="BV45" s="2">
        <v>212.04</v>
      </c>
      <c r="BW45" s="2">
        <v>212.24</v>
      </c>
      <c r="BX45" s="2">
        <v>209.98</v>
      </c>
      <c r="BY45" s="2">
        <v>209.14</v>
      </c>
      <c r="BZ45" s="2">
        <v>210.54</v>
      </c>
      <c r="CA45" s="2">
        <v>210.63</v>
      </c>
      <c r="CB45" s="2">
        <v>210.42</v>
      </c>
      <c r="CC45" s="2">
        <v>208.58</v>
      </c>
      <c r="CD45" s="2">
        <v>209.97</v>
      </c>
      <c r="CE45" s="2">
        <v>208.48</v>
      </c>
      <c r="CF45" s="2">
        <v>208</v>
      </c>
      <c r="CG45" s="2">
        <v>207.98</v>
      </c>
      <c r="CH45" s="2">
        <v>210.6</v>
      </c>
      <c r="CI45" s="2">
        <v>209.5</v>
      </c>
      <c r="CJ45" s="2">
        <v>210</v>
      </c>
      <c r="CK45" s="2">
        <v>210.33</v>
      </c>
      <c r="CL45" s="2">
        <v>207.81</v>
      </c>
      <c r="CM45" s="2">
        <v>208.04</v>
      </c>
      <c r="CN45" s="2">
        <v>208.41</v>
      </c>
      <c r="CO45" s="2">
        <v>211.15</v>
      </c>
      <c r="CP45" s="2">
        <v>211.79</v>
      </c>
      <c r="CQ45" s="2">
        <v>211.4</v>
      </c>
      <c r="CR45" s="2">
        <v>211.33</v>
      </c>
      <c r="CS45" s="2">
        <v>209.56</v>
      </c>
      <c r="CT45" s="2">
        <v>211.33</v>
      </c>
      <c r="CU45" s="2">
        <v>212.73</v>
      </c>
      <c r="CV45" s="2">
        <v>210.9</v>
      </c>
      <c r="CW45" s="2">
        <v>214.85</v>
      </c>
      <c r="CX45" s="2">
        <v>212.43</v>
      </c>
      <c r="CY45" s="2">
        <v>212.87</v>
      </c>
      <c r="CZ45" s="2">
        <v>212.74</v>
      </c>
      <c r="DA45" s="2">
        <v>213.36</v>
      </c>
      <c r="DB45" s="2">
        <v>213.85</v>
      </c>
      <c r="DC45" s="2">
        <v>213.95</v>
      </c>
      <c r="DD45" s="2">
        <v>214.97</v>
      </c>
      <c r="DE45" s="2">
        <v>214.05</v>
      </c>
      <c r="DF45" s="2">
        <v>215.38</v>
      </c>
      <c r="DG45" s="2">
        <v>214.99</v>
      </c>
      <c r="DH45" s="2">
        <v>215.02</v>
      </c>
      <c r="DI45" s="2">
        <v>215.87</v>
      </c>
      <c r="DJ45" s="2">
        <v>215.4</v>
      </c>
      <c r="DK45" s="2">
        <v>214.97</v>
      </c>
      <c r="DL45" s="2">
        <v>215.44</v>
      </c>
      <c r="DM45" s="2">
        <v>214.98</v>
      </c>
      <c r="DN45" s="2">
        <v>216.27</v>
      </c>
      <c r="DO45" s="2">
        <v>216.5</v>
      </c>
      <c r="DP45" s="2">
        <v>216.78</v>
      </c>
      <c r="DQ45" s="2">
        <v>217.93</v>
      </c>
      <c r="DR45" s="2">
        <v>218.18</v>
      </c>
      <c r="DS45" s="2">
        <v>217.57</v>
      </c>
      <c r="DT45" s="2">
        <v>215.54</v>
      </c>
      <c r="DU45" s="2">
        <v>216.75</v>
      </c>
      <c r="DV45" s="2">
        <v>214.34</v>
      </c>
      <c r="DW45" s="2">
        <v>215.34</v>
      </c>
      <c r="DX45" s="2">
        <v>211.66</v>
      </c>
      <c r="DY45" s="2">
        <v>212.78</v>
      </c>
      <c r="DZ45" s="2">
        <v>217.17</v>
      </c>
      <c r="EA45" s="2">
        <v>214.95</v>
      </c>
      <c r="EB45" s="2">
        <v>215.11</v>
      </c>
      <c r="EC45" s="2">
        <v>217.12</v>
      </c>
      <c r="ED45" s="2">
        <v>216.45</v>
      </c>
      <c r="EE45" s="2">
        <v>216.28</v>
      </c>
      <c r="EF45" s="2">
        <v>216.04</v>
      </c>
      <c r="EG45" s="2">
        <v>217.53</v>
      </c>
      <c r="EH45" s="2">
        <v>217.11</v>
      </c>
      <c r="EI45" s="2">
        <v>216.86</v>
      </c>
      <c r="EJ45" s="2">
        <v>216.53</v>
      </c>
      <c r="EK45" s="2">
        <v>216.77</v>
      </c>
      <c r="EL45" s="2">
        <v>218.13</v>
      </c>
      <c r="EM45" s="2">
        <v>217.47</v>
      </c>
      <c r="EN45" s="2">
        <v>218.99</v>
      </c>
      <c r="EO45" s="2">
        <v>215.8</v>
      </c>
      <c r="EP45" s="2">
        <v>216.97</v>
      </c>
      <c r="EQ45" s="2">
        <v>217.7</v>
      </c>
      <c r="ER45" s="2">
        <v>217.24</v>
      </c>
      <c r="ES45" s="2">
        <v>217.28</v>
      </c>
      <c r="ET45" s="2">
        <v>218.49</v>
      </c>
      <c r="EU45" s="2">
        <v>217.04</v>
      </c>
      <c r="EV45" s="2">
        <v>217.73</v>
      </c>
      <c r="EW45" s="2">
        <v>217.33</v>
      </c>
      <c r="EX45" s="2">
        <v>218.26</v>
      </c>
      <c r="EY45" s="2">
        <v>219.08</v>
      </c>
      <c r="EZ45" s="2">
        <v>217.51</v>
      </c>
      <c r="FA45" s="2">
        <v>217.53</v>
      </c>
      <c r="FB45" s="2">
        <v>218.5</v>
      </c>
      <c r="FC45" s="2">
        <v>218.2</v>
      </c>
      <c r="FD45" s="2">
        <v>218.97</v>
      </c>
      <c r="FE45" s="2">
        <v>219.78</v>
      </c>
      <c r="FF45" s="2">
        <v>218.56</v>
      </c>
      <c r="FG45" s="2">
        <v>218.66</v>
      </c>
      <c r="FH45" s="2">
        <v>219.19</v>
      </c>
      <c r="FI45" s="2">
        <v>220.38</v>
      </c>
      <c r="FJ45" s="2">
        <v>220.61</v>
      </c>
      <c r="FK45" s="2">
        <v>219.48</v>
      </c>
      <c r="FL45" s="2">
        <v>218.9</v>
      </c>
      <c r="FM45" s="2">
        <v>221.36</v>
      </c>
      <c r="FN45" s="2">
        <v>220.31</v>
      </c>
      <c r="FO45" s="2">
        <v>220.73</v>
      </c>
      <c r="FP45" s="2">
        <v>221.03</v>
      </c>
      <c r="FQ45" s="2">
        <v>217.03</v>
      </c>
      <c r="FR45" s="2">
        <v>220.84</v>
      </c>
      <c r="FS45" s="2">
        <v>221.12</v>
      </c>
      <c r="FT45" s="2">
        <v>221.94</v>
      </c>
      <c r="FU45" s="2">
        <v>222.12</v>
      </c>
      <c r="FV45" s="2">
        <v>222.26</v>
      </c>
      <c r="FW45" s="2">
        <v>221.55</v>
      </c>
      <c r="FX45" s="2">
        <v>221.43</v>
      </c>
      <c r="FY45" s="2">
        <v>221.14</v>
      </c>
      <c r="FZ45" s="2">
        <v>222.32</v>
      </c>
      <c r="GA45" s="2">
        <v>223.43</v>
      </c>
      <c r="GB45" s="2">
        <v>223.56</v>
      </c>
      <c r="GC45" s="2">
        <v>223.45</v>
      </c>
      <c r="GD45" s="2">
        <v>223.74</v>
      </c>
      <c r="GE45" s="2">
        <v>222.63</v>
      </c>
      <c r="GF45" s="2">
        <v>220.49</v>
      </c>
      <c r="GG45" s="2">
        <v>220.5</v>
      </c>
      <c r="GH45" s="2">
        <v>220.49</v>
      </c>
      <c r="GI45" s="2">
        <v>221.13</v>
      </c>
      <c r="GJ45" s="2">
        <v>222.8</v>
      </c>
      <c r="GK45" s="2">
        <v>223.58</v>
      </c>
      <c r="GL45" s="2">
        <v>224.87</v>
      </c>
      <c r="GM45" s="2">
        <v>225.04</v>
      </c>
      <c r="GN45" s="2">
        <v>226.97</v>
      </c>
      <c r="GO45" s="2">
        <v>227.66</v>
      </c>
      <c r="GP45" s="2">
        <v>228.83</v>
      </c>
      <c r="GQ45" s="2">
        <v>227.03</v>
      </c>
      <c r="GR45" s="2">
        <v>226.36</v>
      </c>
      <c r="GS45" s="2">
        <v>227.2</v>
      </c>
      <c r="GT45" s="2">
        <v>226.35</v>
      </c>
      <c r="GU45" s="2">
        <v>226.6</v>
      </c>
      <c r="GV45" s="2">
        <v>226.86</v>
      </c>
      <c r="GW45" s="2">
        <v>227.34</v>
      </c>
      <c r="GX45" s="2">
        <v>228.27</v>
      </c>
      <c r="GY45" s="2">
        <v>227.13</v>
      </c>
      <c r="GZ45" s="2">
        <v>227.51</v>
      </c>
      <c r="HA45" s="2">
        <v>227.77</v>
      </c>
      <c r="HB45" s="2">
        <v>228.37</v>
      </c>
      <c r="HC45" s="2">
        <v>228.76</v>
      </c>
      <c r="HD45" s="2">
        <v>229.5</v>
      </c>
      <c r="HE45" s="2">
        <v>229.38</v>
      </c>
      <c r="HF45" s="2">
        <v>229.47</v>
      </c>
      <c r="HG45" s="2">
        <v>228.91</v>
      </c>
      <c r="HH45" s="2">
        <v>228.94</v>
      </c>
      <c r="HI45" s="2">
        <v>230.3</v>
      </c>
      <c r="HJ45" s="2">
        <v>231.01</v>
      </c>
      <c r="HK45" s="2">
        <v>231.43</v>
      </c>
      <c r="HL45" s="2">
        <v>231.97</v>
      </c>
      <c r="HM45" s="2">
        <v>231.56</v>
      </c>
      <c r="HN45" s="2">
        <v>232.38</v>
      </c>
      <c r="HO45" s="2">
        <v>231.83</v>
      </c>
      <c r="HP45" s="2">
        <v>231.75</v>
      </c>
      <c r="HQ45" s="2">
        <v>232.91</v>
      </c>
      <c r="HR45" s="2">
        <v>234.24</v>
      </c>
      <c r="HS45" s="2">
        <v>230.41</v>
      </c>
      <c r="HT45" s="2">
        <v>227.4</v>
      </c>
      <c r="HU45" s="2">
        <v>226.07</v>
      </c>
      <c r="HV45" s="2">
        <v>225.69</v>
      </c>
      <c r="HW45" s="2">
        <v>225.71</v>
      </c>
      <c r="HX45" s="2">
        <v>226.13</v>
      </c>
      <c r="HY45" s="2">
        <v>226.95</v>
      </c>
      <c r="HZ45" s="2">
        <v>226.18</v>
      </c>
      <c r="IA45" s="2">
        <v>226.33</v>
      </c>
      <c r="IB45" s="2">
        <v>226.17</v>
      </c>
      <c r="IC45" s="2">
        <v>226.64</v>
      </c>
      <c r="ID45" s="2">
        <v>228.59</v>
      </c>
      <c r="IE45" s="2">
        <v>229.51</v>
      </c>
      <c r="IF45" s="2">
        <v>230.29</v>
      </c>
      <c r="IG45" s="2">
        <v>228.35</v>
      </c>
      <c r="IH45" s="2">
        <v>228.8</v>
      </c>
      <c r="II45" s="2">
        <v>229.67</v>
      </c>
      <c r="IJ45" s="2">
        <v>231.8</v>
      </c>
      <c r="IK45" s="2">
        <v>230.36</v>
      </c>
      <c r="IL45" s="2">
        <v>231.17</v>
      </c>
      <c r="IM45" s="2">
        <v>233.51</v>
      </c>
      <c r="IN45" s="2">
        <v>229.48</v>
      </c>
      <c r="IO45" s="2">
        <v>233.42</v>
      </c>
      <c r="IP45" s="2">
        <v>228.71</v>
      </c>
      <c r="IQ45" s="2">
        <v>228.76</v>
      </c>
      <c r="IR45" s="2">
        <v>227.82</v>
      </c>
    </row>
    <row r="46" spans="1:252" ht="23.25" customHeight="1" x14ac:dyDescent="0.3">
      <c r="A46" s="4" t="s">
        <v>298</v>
      </c>
      <c r="B46" s="4">
        <v>19</v>
      </c>
      <c r="C46" s="4" t="s">
        <v>339</v>
      </c>
      <c r="D46" s="3" t="s">
        <v>300</v>
      </c>
      <c r="E46" s="3" t="s">
        <v>301</v>
      </c>
      <c r="F46" s="2">
        <v>126.95</v>
      </c>
      <c r="G46" s="2">
        <v>129.56</v>
      </c>
      <c r="H46" s="2">
        <v>129.88</v>
      </c>
      <c r="I46" s="2">
        <v>129.15</v>
      </c>
      <c r="J46" s="2">
        <v>129.06</v>
      </c>
      <c r="K46" s="2">
        <v>128.27000000000001</v>
      </c>
      <c r="L46" s="2">
        <v>129.52000000000001</v>
      </c>
      <c r="M46" s="2">
        <v>129.75</v>
      </c>
      <c r="N46" s="2">
        <v>128.93</v>
      </c>
      <c r="O46" s="2">
        <v>130.13</v>
      </c>
      <c r="P46" s="2">
        <v>129.74</v>
      </c>
      <c r="Q46" s="2">
        <v>129.76</v>
      </c>
      <c r="R46" s="2">
        <v>129.44</v>
      </c>
      <c r="S46" s="2">
        <v>129.35</v>
      </c>
      <c r="T46" s="2">
        <v>129.77000000000001</v>
      </c>
      <c r="U46" s="2">
        <v>129.1</v>
      </c>
      <c r="V46" s="2">
        <v>128.41</v>
      </c>
      <c r="W46" s="2">
        <v>128.81</v>
      </c>
      <c r="X46" s="2">
        <v>128.34</v>
      </c>
      <c r="Y46" s="2">
        <v>128.06</v>
      </c>
      <c r="Z46" s="2">
        <v>130.31</v>
      </c>
      <c r="AA46" s="2">
        <v>131.68</v>
      </c>
      <c r="AB46" s="2">
        <v>133.46</v>
      </c>
      <c r="AC46" s="2">
        <v>132.49</v>
      </c>
      <c r="AD46" s="2">
        <v>133.29</v>
      </c>
      <c r="AE46" s="2">
        <v>134.9</v>
      </c>
      <c r="AF46" s="2">
        <v>136.86000000000001</v>
      </c>
      <c r="AG46" s="2">
        <v>136.55000000000001</v>
      </c>
      <c r="AH46" s="2">
        <v>135.84</v>
      </c>
      <c r="AI46" s="2">
        <v>136.80000000000001</v>
      </c>
      <c r="AJ46" s="2">
        <v>137.34</v>
      </c>
      <c r="AK46" s="2">
        <v>137.01</v>
      </c>
      <c r="AL46" s="2">
        <v>137.56</v>
      </c>
      <c r="AM46" s="2">
        <v>138.37</v>
      </c>
      <c r="AN46" s="2">
        <v>139.13</v>
      </c>
      <c r="AO46" s="2">
        <v>139.35</v>
      </c>
      <c r="AP46" s="2">
        <v>139.74</v>
      </c>
      <c r="AQ46" s="2">
        <v>138.56</v>
      </c>
      <c r="AR46" s="2">
        <v>139.88999999999999</v>
      </c>
      <c r="AS46" s="2">
        <v>140.03</v>
      </c>
      <c r="AT46" s="2">
        <v>139.94999999999999</v>
      </c>
      <c r="AU46" s="2">
        <v>140.58000000000001</v>
      </c>
      <c r="AV46" s="2">
        <v>140.57</v>
      </c>
      <c r="AW46" s="2">
        <v>142.08000000000001</v>
      </c>
      <c r="AX46" s="2">
        <v>133.35</v>
      </c>
      <c r="AY46" s="2">
        <v>133.61000000000001</v>
      </c>
      <c r="AZ46" s="2">
        <v>134.34</v>
      </c>
      <c r="BA46" s="2">
        <v>137.69</v>
      </c>
      <c r="BB46" s="2">
        <v>135.09</v>
      </c>
      <c r="BC46" s="2">
        <v>135.68</v>
      </c>
      <c r="BD46" s="2">
        <v>134.91999999999999</v>
      </c>
      <c r="BE46" s="2">
        <v>133.74</v>
      </c>
      <c r="BF46" s="2">
        <v>135.05000000000001</v>
      </c>
      <c r="BG46" s="2">
        <v>135.66</v>
      </c>
      <c r="BH46" s="2">
        <v>135.97</v>
      </c>
      <c r="BI46" s="2">
        <v>136.72</v>
      </c>
      <c r="BJ46" s="2">
        <v>136.44</v>
      </c>
      <c r="BK46" s="2">
        <v>135.51</v>
      </c>
      <c r="BL46" s="2">
        <v>137.5</v>
      </c>
      <c r="BM46" s="2">
        <v>137.52000000000001</v>
      </c>
      <c r="BN46" s="2">
        <v>139.03</v>
      </c>
      <c r="BO46" s="2">
        <v>138.66999999999999</v>
      </c>
      <c r="BP46" s="2">
        <v>136.75</v>
      </c>
      <c r="BQ46" s="2">
        <v>138.99</v>
      </c>
      <c r="BR46" s="2">
        <v>134.58000000000001</v>
      </c>
      <c r="BS46" s="2">
        <v>133.75</v>
      </c>
      <c r="BT46" s="2">
        <v>135.44</v>
      </c>
      <c r="BU46" s="2">
        <v>133.96</v>
      </c>
      <c r="BV46" s="2">
        <v>136.41</v>
      </c>
      <c r="BW46" s="2">
        <v>136.33000000000001</v>
      </c>
      <c r="BX46" s="2">
        <v>134.38</v>
      </c>
      <c r="BY46" s="2">
        <v>134.37</v>
      </c>
      <c r="BZ46" s="2">
        <v>135.53</v>
      </c>
      <c r="CA46" s="2">
        <v>135.83000000000001</v>
      </c>
      <c r="CB46" s="2">
        <v>136.18</v>
      </c>
      <c r="CC46" s="2">
        <v>135.12</v>
      </c>
      <c r="CD46" s="2">
        <v>136.22</v>
      </c>
      <c r="CE46" s="2">
        <v>135.15</v>
      </c>
      <c r="CF46" s="2">
        <v>134.77000000000001</v>
      </c>
      <c r="CG46" s="2">
        <v>135.03</v>
      </c>
      <c r="CH46" s="2">
        <v>136.46</v>
      </c>
      <c r="CI46" s="2">
        <v>134.82</v>
      </c>
      <c r="CJ46" s="2">
        <v>135.76</v>
      </c>
      <c r="CK46" s="2">
        <v>135.96</v>
      </c>
      <c r="CL46" s="2">
        <v>134.56</v>
      </c>
      <c r="CM46" s="2">
        <v>135.03</v>
      </c>
      <c r="CN46" s="2">
        <v>134.59</v>
      </c>
      <c r="CO46" s="2">
        <v>136.22999999999999</v>
      </c>
      <c r="CP46" s="2">
        <v>137.25</v>
      </c>
      <c r="CQ46" s="2">
        <v>137.71</v>
      </c>
      <c r="CR46" s="2">
        <v>137.65</v>
      </c>
      <c r="CS46" s="2">
        <v>137</v>
      </c>
      <c r="CT46" s="2">
        <v>137.6</v>
      </c>
      <c r="CU46" s="2">
        <v>137.5</v>
      </c>
      <c r="CV46" s="2">
        <v>135.44999999999999</v>
      </c>
      <c r="CW46" s="2">
        <v>137.01</v>
      </c>
      <c r="CX46" s="2">
        <v>134.82</v>
      </c>
      <c r="CY46" s="2">
        <v>134.44</v>
      </c>
      <c r="CZ46" s="2">
        <v>134.56</v>
      </c>
      <c r="DA46" s="2">
        <v>134.72</v>
      </c>
      <c r="DB46" s="2">
        <v>134.41999999999999</v>
      </c>
      <c r="DC46" s="2">
        <v>134.28</v>
      </c>
      <c r="DD46" s="2">
        <v>135.02000000000001</v>
      </c>
      <c r="DE46" s="2">
        <v>134.96</v>
      </c>
      <c r="DF46" s="2">
        <v>135.55000000000001</v>
      </c>
      <c r="DG46" s="2">
        <v>135.12</v>
      </c>
      <c r="DH46" s="2">
        <v>135.52000000000001</v>
      </c>
      <c r="DI46" s="2">
        <v>136.13999999999999</v>
      </c>
      <c r="DJ46" s="2">
        <v>136.28</v>
      </c>
      <c r="DK46" s="2">
        <v>135.35</v>
      </c>
      <c r="DL46" s="2">
        <v>135.97999999999999</v>
      </c>
      <c r="DM46" s="2">
        <v>134.86000000000001</v>
      </c>
      <c r="DN46" s="2">
        <v>135.30000000000001</v>
      </c>
      <c r="DO46" s="2">
        <v>135.22</v>
      </c>
      <c r="DP46" s="2">
        <v>136.77000000000001</v>
      </c>
      <c r="DQ46" s="2">
        <v>136.94999999999999</v>
      </c>
      <c r="DR46" s="2">
        <v>137.62</v>
      </c>
      <c r="DS46" s="2">
        <v>136.53</v>
      </c>
      <c r="DT46" s="2">
        <v>135.19</v>
      </c>
      <c r="DU46" s="2">
        <v>135.71</v>
      </c>
      <c r="DV46" s="2">
        <v>135.4</v>
      </c>
      <c r="DW46" s="2">
        <v>136.30000000000001</v>
      </c>
      <c r="DX46" s="2">
        <v>134.16</v>
      </c>
      <c r="DY46" s="2">
        <v>134.57</v>
      </c>
      <c r="DZ46" s="2">
        <v>136.44999999999999</v>
      </c>
      <c r="EA46" s="2">
        <v>134.99</v>
      </c>
      <c r="EB46" s="2">
        <v>135.18</v>
      </c>
      <c r="EC46" s="2">
        <v>136.49</v>
      </c>
      <c r="ED46" s="2">
        <v>135.51</v>
      </c>
      <c r="EE46" s="2">
        <v>134.86000000000001</v>
      </c>
      <c r="EF46" s="2">
        <v>135.75</v>
      </c>
      <c r="EG46" s="2">
        <v>136.04</v>
      </c>
      <c r="EH46" s="2">
        <v>135.81</v>
      </c>
      <c r="EI46" s="2">
        <v>135.85</v>
      </c>
      <c r="EJ46" s="2">
        <v>135.77000000000001</v>
      </c>
      <c r="EK46" s="2">
        <v>135.07</v>
      </c>
      <c r="EL46" s="2">
        <v>136.46</v>
      </c>
      <c r="EM46" s="2">
        <v>137.32</v>
      </c>
      <c r="EN46" s="2">
        <v>138.56</v>
      </c>
      <c r="EO46" s="2">
        <v>136.84</v>
      </c>
      <c r="EP46" s="2">
        <v>137.35</v>
      </c>
      <c r="EQ46" s="2">
        <v>138.47</v>
      </c>
      <c r="ER46" s="2">
        <v>137.9</v>
      </c>
      <c r="ES46" s="2">
        <v>137.91</v>
      </c>
      <c r="ET46" s="2">
        <v>139.41999999999999</v>
      </c>
      <c r="EU46" s="2">
        <v>138.68</v>
      </c>
      <c r="EV46" s="2">
        <v>138.87</v>
      </c>
      <c r="EW46" s="2">
        <v>138.04</v>
      </c>
      <c r="EX46" s="2">
        <v>138.78</v>
      </c>
      <c r="EY46" s="2">
        <v>139.27000000000001</v>
      </c>
      <c r="EZ46" s="2">
        <v>139.02000000000001</v>
      </c>
      <c r="FA46" s="2">
        <v>139.82</v>
      </c>
      <c r="FB46" s="2">
        <v>141.03</v>
      </c>
      <c r="FC46" s="2">
        <v>140.75</v>
      </c>
      <c r="FD46" s="2">
        <v>141.4</v>
      </c>
      <c r="FE46" s="2">
        <v>141.66999999999999</v>
      </c>
      <c r="FF46" s="2">
        <v>140.63</v>
      </c>
      <c r="FG46" s="2">
        <v>140.19999999999999</v>
      </c>
      <c r="FH46" s="2">
        <v>140.29</v>
      </c>
      <c r="FI46" s="2">
        <v>140.55000000000001</v>
      </c>
      <c r="FJ46" s="2">
        <v>140.88</v>
      </c>
      <c r="FK46" s="2">
        <v>140.19</v>
      </c>
      <c r="FL46" s="2">
        <v>139.86000000000001</v>
      </c>
      <c r="FM46" s="2">
        <v>141.5</v>
      </c>
      <c r="FN46" s="2">
        <v>140.38</v>
      </c>
      <c r="FO46" s="2">
        <v>140.61000000000001</v>
      </c>
      <c r="FP46" s="2">
        <v>141.80000000000001</v>
      </c>
      <c r="FQ46" s="2">
        <v>139.16999999999999</v>
      </c>
      <c r="FR46" s="2">
        <v>140.77000000000001</v>
      </c>
      <c r="FS46" s="2">
        <v>141.47999999999999</v>
      </c>
      <c r="FT46" s="2">
        <v>140.62</v>
      </c>
      <c r="FU46" s="2">
        <v>141.11000000000001</v>
      </c>
      <c r="FV46" s="2">
        <v>141.07</v>
      </c>
      <c r="FW46" s="2">
        <v>141</v>
      </c>
      <c r="FX46" s="2">
        <v>141.27000000000001</v>
      </c>
      <c r="FY46" s="2">
        <v>141.47999999999999</v>
      </c>
      <c r="FZ46" s="2">
        <v>142.69999999999999</v>
      </c>
      <c r="GA46" s="2">
        <v>144.08000000000001</v>
      </c>
      <c r="GB46" s="2">
        <v>143.61000000000001</v>
      </c>
      <c r="GC46" s="2">
        <v>143.47999999999999</v>
      </c>
      <c r="GD46" s="2">
        <v>143.69999999999999</v>
      </c>
      <c r="GE46" s="2">
        <v>142.97999999999999</v>
      </c>
      <c r="GF46" s="2">
        <v>141.58000000000001</v>
      </c>
      <c r="GG46" s="2">
        <v>141.06</v>
      </c>
      <c r="GH46" s="2">
        <v>141.11000000000001</v>
      </c>
      <c r="GI46" s="2">
        <v>140.61000000000001</v>
      </c>
      <c r="GJ46" s="2">
        <v>141.66999999999999</v>
      </c>
      <c r="GK46" s="2">
        <v>141.78</v>
      </c>
      <c r="GL46" s="2">
        <v>142.99</v>
      </c>
      <c r="GM46" s="2">
        <v>143.52000000000001</v>
      </c>
      <c r="GN46" s="2">
        <v>145.43</v>
      </c>
      <c r="GO46" s="2">
        <v>145.44999999999999</v>
      </c>
      <c r="GP46" s="2">
        <v>146.61000000000001</v>
      </c>
      <c r="GQ46" s="2">
        <v>144.66999999999999</v>
      </c>
      <c r="GR46" s="2">
        <v>144.27000000000001</v>
      </c>
      <c r="GS46" s="2">
        <v>144.93</v>
      </c>
      <c r="GT46" s="2">
        <v>143.97999999999999</v>
      </c>
      <c r="GU46" s="2">
        <v>143.69</v>
      </c>
      <c r="GV46" s="2">
        <v>143.63999999999999</v>
      </c>
      <c r="GW46" s="2">
        <v>144.08000000000001</v>
      </c>
      <c r="GX46" s="2">
        <v>144.05000000000001</v>
      </c>
      <c r="GY46" s="2">
        <v>143.37</v>
      </c>
      <c r="GZ46" s="2">
        <v>144.18</v>
      </c>
      <c r="HA46" s="2">
        <v>144.91999999999999</v>
      </c>
      <c r="HB46" s="2">
        <v>145.01</v>
      </c>
      <c r="HC46" s="2">
        <v>145.04</v>
      </c>
      <c r="HD46" s="2">
        <v>145.96</v>
      </c>
      <c r="HE46" s="2">
        <v>145.47</v>
      </c>
      <c r="HF46" s="2">
        <v>145.57</v>
      </c>
      <c r="HG46" s="2">
        <v>145.06</v>
      </c>
      <c r="HH46" s="2">
        <v>144.86000000000001</v>
      </c>
      <c r="HI46" s="2">
        <v>145.79</v>
      </c>
      <c r="HJ46" s="2">
        <v>146.03</v>
      </c>
      <c r="HK46" s="2">
        <v>145.49</v>
      </c>
      <c r="HL46" s="2">
        <v>145.31</v>
      </c>
      <c r="HM46" s="2">
        <v>144.52000000000001</v>
      </c>
      <c r="HN46" s="2">
        <v>144.9</v>
      </c>
      <c r="HO46" s="2">
        <v>145.41</v>
      </c>
      <c r="HP46" s="2">
        <v>145.80000000000001</v>
      </c>
      <c r="HQ46" s="2">
        <v>146.29</v>
      </c>
      <c r="HR46" s="2">
        <v>147.93</v>
      </c>
      <c r="HS46" s="2">
        <v>146.07</v>
      </c>
      <c r="HT46" s="2">
        <v>144.13</v>
      </c>
      <c r="HU46" s="2">
        <v>142.82</v>
      </c>
      <c r="HV46" s="2">
        <v>142.78</v>
      </c>
      <c r="HW46" s="2">
        <v>142.47</v>
      </c>
      <c r="HX46" s="2">
        <v>143.08000000000001</v>
      </c>
      <c r="HY46" s="2">
        <v>144.16</v>
      </c>
      <c r="HZ46" s="2">
        <v>143.79</v>
      </c>
      <c r="IA46" s="2">
        <v>143.63</v>
      </c>
      <c r="IB46" s="2">
        <v>143.81</v>
      </c>
      <c r="IC46" s="2">
        <v>144.24</v>
      </c>
      <c r="ID46" s="2">
        <v>145.38</v>
      </c>
      <c r="IE46" s="2">
        <v>145.97</v>
      </c>
      <c r="IF46" s="2">
        <v>146.99</v>
      </c>
      <c r="IG46" s="2">
        <v>145.29</v>
      </c>
      <c r="IH46" s="2">
        <v>146.03</v>
      </c>
      <c r="II46" s="2">
        <v>146.41999999999999</v>
      </c>
      <c r="IJ46" s="2">
        <v>147.76</v>
      </c>
      <c r="IK46" s="2">
        <v>147.74</v>
      </c>
      <c r="IL46" s="2">
        <v>149.05000000000001</v>
      </c>
      <c r="IM46" s="2">
        <v>150.91999999999999</v>
      </c>
      <c r="IN46" s="2">
        <v>147.59</v>
      </c>
      <c r="IO46" s="2">
        <v>151.34</v>
      </c>
      <c r="IP46" s="2">
        <v>148.96</v>
      </c>
      <c r="IQ46" s="2">
        <v>149.63999999999999</v>
      </c>
      <c r="IR46" s="2">
        <v>148.79</v>
      </c>
    </row>
    <row r="47" spans="1:252" ht="23.25" customHeight="1" x14ac:dyDescent="0.3">
      <c r="A47" s="4" t="s">
        <v>298</v>
      </c>
      <c r="B47" s="4">
        <v>43</v>
      </c>
      <c r="C47" s="4" t="s">
        <v>340</v>
      </c>
      <c r="D47" s="3" t="s">
        <v>300</v>
      </c>
      <c r="E47" s="3" t="s">
        <v>301</v>
      </c>
      <c r="F47" s="2">
        <v>14.74</v>
      </c>
      <c r="G47" s="2">
        <v>14.73</v>
      </c>
      <c r="H47" s="2">
        <v>14.51</v>
      </c>
      <c r="I47" s="2">
        <v>14.8</v>
      </c>
      <c r="J47" s="2">
        <v>14.96</v>
      </c>
      <c r="K47" s="2">
        <v>14.92</v>
      </c>
      <c r="L47" s="2">
        <v>15.04</v>
      </c>
      <c r="M47" s="2">
        <v>15.06</v>
      </c>
      <c r="N47" s="2">
        <v>15.45</v>
      </c>
      <c r="O47" s="2">
        <v>16.21</v>
      </c>
      <c r="P47" s="2">
        <v>15.84</v>
      </c>
      <c r="Q47" s="2">
        <v>15.75</v>
      </c>
      <c r="R47" s="2">
        <v>15.77</v>
      </c>
      <c r="S47" s="2">
        <v>16.07</v>
      </c>
      <c r="T47" s="2">
        <v>16.23</v>
      </c>
      <c r="U47" s="2">
        <v>16.2</v>
      </c>
      <c r="V47" s="2">
        <v>16.29</v>
      </c>
      <c r="W47" s="2">
        <v>16.52</v>
      </c>
      <c r="X47" s="2">
        <v>16.489999999999998</v>
      </c>
      <c r="Y47" s="2">
        <v>16.420000000000002</v>
      </c>
      <c r="Z47" s="2">
        <v>16.260000000000002</v>
      </c>
      <c r="AA47" s="2">
        <v>16.260000000000002</v>
      </c>
      <c r="AB47" s="2">
        <v>16.11</v>
      </c>
      <c r="AC47" s="2">
        <v>16.2</v>
      </c>
      <c r="AD47" s="2">
        <v>16.07</v>
      </c>
      <c r="AE47" s="2">
        <v>16.559999999999999</v>
      </c>
      <c r="AF47" s="2">
        <v>17.03</v>
      </c>
      <c r="AG47" s="2">
        <v>16.66</v>
      </c>
      <c r="AH47" s="2">
        <v>16.829999999999998</v>
      </c>
      <c r="AI47" s="2">
        <v>17.02</v>
      </c>
      <c r="AJ47" s="2">
        <v>17.350000000000001</v>
      </c>
      <c r="AK47" s="2">
        <v>17.7</v>
      </c>
      <c r="AL47" s="2">
        <v>17.29</v>
      </c>
      <c r="AM47" s="2">
        <v>17.18</v>
      </c>
      <c r="AN47" s="2">
        <v>17.36</v>
      </c>
      <c r="AO47" s="2">
        <v>17.489999999999998</v>
      </c>
      <c r="AP47" s="2">
        <v>17.37</v>
      </c>
      <c r="AQ47" s="2">
        <v>17.43</v>
      </c>
      <c r="AR47" s="2">
        <v>17.36</v>
      </c>
      <c r="AS47" s="2">
        <v>17.260000000000002</v>
      </c>
      <c r="AT47" s="2">
        <v>17.72</v>
      </c>
      <c r="AU47" s="2">
        <v>17.420000000000002</v>
      </c>
      <c r="AV47" s="2">
        <v>17.420000000000002</v>
      </c>
      <c r="AW47" s="2">
        <v>17.440000000000001</v>
      </c>
      <c r="AX47" s="2">
        <v>17.03</v>
      </c>
      <c r="AY47" s="2">
        <v>17.02</v>
      </c>
      <c r="AZ47" s="2">
        <v>17.13</v>
      </c>
      <c r="BA47" s="2">
        <v>17.21</v>
      </c>
      <c r="BB47" s="2">
        <v>17.47</v>
      </c>
      <c r="BC47" s="2">
        <v>17.43</v>
      </c>
      <c r="BD47" s="2">
        <v>17.350000000000001</v>
      </c>
      <c r="BE47" s="2">
        <v>17.04</v>
      </c>
      <c r="BF47" s="2">
        <v>17.2</v>
      </c>
      <c r="BG47" s="2">
        <v>17.28</v>
      </c>
      <c r="BH47" s="2">
        <v>17.309999999999999</v>
      </c>
      <c r="BI47" s="2">
        <v>17.52</v>
      </c>
      <c r="BJ47" s="2">
        <v>17.45</v>
      </c>
      <c r="BK47" s="2">
        <v>17.190000000000001</v>
      </c>
      <c r="BL47" s="2">
        <v>17.190000000000001</v>
      </c>
      <c r="BM47" s="2">
        <v>17.36</v>
      </c>
      <c r="BN47" s="2">
        <v>17.41</v>
      </c>
      <c r="BO47" s="2">
        <v>17.54</v>
      </c>
      <c r="BP47" s="2">
        <v>17.399999999999999</v>
      </c>
      <c r="BQ47" s="2">
        <v>17.5</v>
      </c>
      <c r="BR47" s="2">
        <v>17.29</v>
      </c>
      <c r="BS47" s="2">
        <v>16.940000000000001</v>
      </c>
      <c r="BT47" s="2">
        <v>17.04</v>
      </c>
      <c r="BU47" s="2">
        <v>17.29</v>
      </c>
      <c r="BV47" s="2">
        <v>17.7</v>
      </c>
      <c r="BW47" s="2">
        <v>17.61</v>
      </c>
      <c r="BX47" s="2">
        <v>17.5</v>
      </c>
      <c r="BY47" s="2">
        <v>17.21</v>
      </c>
      <c r="BZ47" s="2">
        <v>17.309999999999999</v>
      </c>
      <c r="CA47" s="2">
        <v>17.27</v>
      </c>
      <c r="CB47" s="2">
        <v>17.39</v>
      </c>
      <c r="CC47" s="2">
        <v>17.3</v>
      </c>
      <c r="CD47" s="2">
        <v>17.32</v>
      </c>
      <c r="CE47" s="2">
        <v>17.11</v>
      </c>
      <c r="CF47" s="2">
        <v>17.05</v>
      </c>
      <c r="CG47" s="2">
        <v>17.21</v>
      </c>
      <c r="CH47" s="2">
        <v>17.96</v>
      </c>
      <c r="CI47" s="2">
        <v>17.75</v>
      </c>
      <c r="CJ47" s="2">
        <v>17.43</v>
      </c>
      <c r="CK47" s="2">
        <v>17.34</v>
      </c>
      <c r="CL47" s="2">
        <v>17.239999999999998</v>
      </c>
      <c r="CM47" s="2">
        <v>17.2</v>
      </c>
      <c r="CN47" s="2">
        <v>17.329999999999998</v>
      </c>
      <c r="CO47" s="2">
        <v>17.22</v>
      </c>
      <c r="CP47" s="2">
        <v>17.04</v>
      </c>
      <c r="CQ47" s="2">
        <v>17.149999999999999</v>
      </c>
      <c r="CR47" s="2">
        <v>17.34</v>
      </c>
      <c r="CS47" s="2">
        <v>17.350000000000001</v>
      </c>
      <c r="CT47" s="2">
        <v>17.489999999999998</v>
      </c>
      <c r="CU47" s="2">
        <v>17.600000000000001</v>
      </c>
      <c r="CV47" s="2">
        <v>17.440000000000001</v>
      </c>
      <c r="CW47" s="2">
        <v>17.600000000000001</v>
      </c>
      <c r="CX47" s="2">
        <v>17.420000000000002</v>
      </c>
      <c r="CY47" s="2">
        <v>17.39</v>
      </c>
      <c r="CZ47" s="2">
        <v>17.239999999999998</v>
      </c>
      <c r="DA47" s="2">
        <v>17.28</v>
      </c>
      <c r="DB47" s="2">
        <v>17.309999999999999</v>
      </c>
      <c r="DC47" s="2">
        <v>17.23</v>
      </c>
      <c r="DD47" s="2">
        <v>17.22</v>
      </c>
      <c r="DE47" s="2">
        <v>17.170000000000002</v>
      </c>
      <c r="DF47" s="2">
        <v>17.32</v>
      </c>
      <c r="DG47" s="2">
        <v>17.36</v>
      </c>
      <c r="DH47" s="2">
        <v>17.43</v>
      </c>
      <c r="DI47" s="2">
        <v>17.579999999999998</v>
      </c>
      <c r="DJ47" s="2">
        <v>17.7</v>
      </c>
      <c r="DK47" s="2">
        <v>17.63</v>
      </c>
      <c r="DL47" s="2">
        <v>17.649999999999999</v>
      </c>
      <c r="DM47" s="2">
        <v>17.71</v>
      </c>
      <c r="DN47" s="2">
        <v>17.7</v>
      </c>
      <c r="DO47" s="2">
        <v>17.82</v>
      </c>
      <c r="DP47" s="2">
        <v>17.68</v>
      </c>
      <c r="DQ47" s="2">
        <v>17.79</v>
      </c>
      <c r="DR47" s="2">
        <v>17.66</v>
      </c>
      <c r="DS47" s="2">
        <v>17.59</v>
      </c>
      <c r="DT47" s="2">
        <v>17.27</v>
      </c>
      <c r="DU47" s="2">
        <v>17.329999999999998</v>
      </c>
      <c r="DV47" s="2">
        <v>16.96</v>
      </c>
      <c r="DW47" s="2">
        <v>17.12</v>
      </c>
      <c r="DX47" s="2">
        <v>17.07</v>
      </c>
      <c r="DY47" s="2">
        <v>17.14</v>
      </c>
      <c r="DZ47" s="2">
        <v>17.489999999999998</v>
      </c>
      <c r="EA47" s="2">
        <v>17.350000000000001</v>
      </c>
      <c r="EB47" s="2">
        <v>17.329999999999998</v>
      </c>
      <c r="EC47" s="2">
        <v>17.37</v>
      </c>
      <c r="ED47" s="2">
        <v>17.47</v>
      </c>
      <c r="EE47" s="2">
        <v>17.329999999999998</v>
      </c>
      <c r="EF47" s="2">
        <v>17.46</v>
      </c>
      <c r="EG47" s="2">
        <v>17.5</v>
      </c>
      <c r="EH47" s="2">
        <v>17.420000000000002</v>
      </c>
      <c r="EI47" s="2">
        <v>17.25</v>
      </c>
      <c r="EJ47" s="2">
        <v>17.260000000000002</v>
      </c>
      <c r="EK47" s="2">
        <v>17.2</v>
      </c>
      <c r="EL47" s="2">
        <v>17.36</v>
      </c>
      <c r="EM47" s="2">
        <v>17.350000000000001</v>
      </c>
      <c r="EN47" s="2">
        <v>17.329999999999998</v>
      </c>
      <c r="EO47" s="2">
        <v>17.18</v>
      </c>
      <c r="EP47" s="2">
        <v>17.28</v>
      </c>
      <c r="EQ47" s="2">
        <v>17.37</v>
      </c>
      <c r="ER47" s="2">
        <v>17.29</v>
      </c>
      <c r="ES47" s="2">
        <v>17.37</v>
      </c>
      <c r="ET47" s="2">
        <v>17.28</v>
      </c>
      <c r="EU47" s="2">
        <v>17.28</v>
      </c>
      <c r="EV47" s="2">
        <v>17.21</v>
      </c>
      <c r="EW47" s="2">
        <v>17.13</v>
      </c>
      <c r="EX47" s="2">
        <v>17.13</v>
      </c>
      <c r="EY47" s="2">
        <v>16.86</v>
      </c>
      <c r="EZ47" s="2">
        <v>16.57</v>
      </c>
      <c r="FA47" s="2">
        <v>16.420000000000002</v>
      </c>
      <c r="FB47" s="2">
        <v>16.440000000000001</v>
      </c>
      <c r="FC47" s="2">
        <v>16.53</v>
      </c>
      <c r="FD47" s="2">
        <v>16.739999999999998</v>
      </c>
      <c r="FE47" s="2">
        <v>16.61</v>
      </c>
      <c r="FF47" s="2">
        <v>16.43</v>
      </c>
      <c r="FG47" s="2">
        <v>16.63</v>
      </c>
      <c r="FH47" s="2">
        <v>16.690000000000001</v>
      </c>
      <c r="FI47" s="2">
        <v>16.670000000000002</v>
      </c>
      <c r="FJ47" s="2">
        <v>16.66</v>
      </c>
      <c r="FK47" s="2">
        <v>16.66</v>
      </c>
      <c r="FL47" s="2">
        <v>16.68</v>
      </c>
      <c r="FM47" s="2">
        <v>16.93</v>
      </c>
      <c r="FN47" s="2">
        <v>16.88</v>
      </c>
      <c r="FO47" s="2">
        <v>16.93</v>
      </c>
      <c r="FP47" s="2">
        <v>17.04</v>
      </c>
      <c r="FQ47" s="2">
        <v>17.27</v>
      </c>
      <c r="FR47" s="2">
        <v>17.399999999999999</v>
      </c>
      <c r="FS47" s="2">
        <v>17.59</v>
      </c>
      <c r="FT47" s="2">
        <v>17.97</v>
      </c>
      <c r="FU47" s="2">
        <v>18.11</v>
      </c>
      <c r="FV47" s="2">
        <v>17.739999999999998</v>
      </c>
      <c r="FW47" s="2">
        <v>17.489999999999998</v>
      </c>
      <c r="FX47" s="2">
        <v>17.57</v>
      </c>
      <c r="FY47" s="2">
        <v>17.5</v>
      </c>
      <c r="FZ47" s="2">
        <v>17.55</v>
      </c>
      <c r="GA47" s="2">
        <v>17.68</v>
      </c>
      <c r="GB47" s="2">
        <v>18.010000000000002</v>
      </c>
      <c r="GC47" s="2">
        <v>18.079999999999998</v>
      </c>
      <c r="GD47" s="2">
        <v>18.100000000000001</v>
      </c>
      <c r="GE47" s="2">
        <v>17.91</v>
      </c>
      <c r="GF47" s="2">
        <v>17.8</v>
      </c>
      <c r="GG47" s="2">
        <v>17.670000000000002</v>
      </c>
      <c r="GH47" s="2">
        <v>17.71</v>
      </c>
      <c r="GI47" s="2">
        <v>17.75</v>
      </c>
      <c r="GJ47" s="2">
        <v>17.79</v>
      </c>
      <c r="GK47" s="2">
        <v>17.79</v>
      </c>
      <c r="GL47" s="2">
        <v>17.96</v>
      </c>
      <c r="GM47" s="2">
        <v>17.89</v>
      </c>
      <c r="GN47" s="2">
        <v>18.079999999999998</v>
      </c>
      <c r="GO47" s="2">
        <v>18.04</v>
      </c>
      <c r="GP47" s="2">
        <v>18.21</v>
      </c>
      <c r="GQ47" s="2">
        <v>18.04</v>
      </c>
      <c r="GR47" s="2">
        <v>17.95</v>
      </c>
      <c r="GS47" s="2">
        <v>18.100000000000001</v>
      </c>
      <c r="GT47" s="2">
        <v>18.190000000000001</v>
      </c>
      <c r="GU47" s="2">
        <v>18.34</v>
      </c>
      <c r="GV47" s="2">
        <v>18.61</v>
      </c>
      <c r="GW47" s="2">
        <v>18.77</v>
      </c>
      <c r="GX47" s="2">
        <v>18.68</v>
      </c>
      <c r="GY47" s="2">
        <v>18.63</v>
      </c>
      <c r="GZ47" s="2">
        <v>18.79</v>
      </c>
      <c r="HA47" s="2">
        <v>18.91</v>
      </c>
      <c r="HB47" s="2">
        <v>18.899999999999999</v>
      </c>
      <c r="HC47" s="2">
        <v>18.96</v>
      </c>
      <c r="HD47" s="2">
        <v>18.920000000000002</v>
      </c>
      <c r="HE47" s="2">
        <v>19.059999999999999</v>
      </c>
      <c r="HF47" s="2">
        <v>19.239999999999998</v>
      </c>
      <c r="HG47" s="2">
        <v>19.190000000000001</v>
      </c>
      <c r="HH47" s="2">
        <v>19.05</v>
      </c>
      <c r="HI47" s="2">
        <v>18.79</v>
      </c>
      <c r="HJ47" s="2">
        <v>18.309999999999999</v>
      </c>
      <c r="HK47" s="2">
        <v>18.39</v>
      </c>
      <c r="HL47" s="2">
        <v>18.54</v>
      </c>
      <c r="HM47" s="2">
        <v>18.63</v>
      </c>
      <c r="HN47" s="2">
        <v>18.37</v>
      </c>
      <c r="HO47" s="2">
        <v>18.510000000000002</v>
      </c>
      <c r="HP47" s="2">
        <v>18.36</v>
      </c>
      <c r="HQ47" s="2">
        <v>18.77</v>
      </c>
      <c r="HR47" s="2">
        <v>19.02</v>
      </c>
      <c r="HS47" s="2">
        <v>18.72</v>
      </c>
      <c r="HT47" s="2">
        <v>18.600000000000001</v>
      </c>
      <c r="HU47" s="2">
        <v>18.27</v>
      </c>
      <c r="HV47" s="2">
        <v>18.05</v>
      </c>
      <c r="HW47" s="2">
        <v>18.22</v>
      </c>
      <c r="HX47" s="2">
        <v>17.96</v>
      </c>
      <c r="HY47" s="2">
        <v>17.89</v>
      </c>
      <c r="HZ47" s="2">
        <v>17.96</v>
      </c>
      <c r="IA47" s="2">
        <v>17.989999999999998</v>
      </c>
      <c r="IB47" s="2">
        <v>18.09</v>
      </c>
      <c r="IC47" s="2">
        <v>18.43</v>
      </c>
      <c r="ID47" s="2">
        <v>18.690000000000001</v>
      </c>
      <c r="IE47" s="2">
        <v>18.7</v>
      </c>
      <c r="IF47" s="2">
        <v>18.82</v>
      </c>
      <c r="IG47" s="2">
        <v>18.78</v>
      </c>
      <c r="IH47" s="2">
        <v>18.89</v>
      </c>
      <c r="II47" s="2">
        <v>19.010000000000002</v>
      </c>
      <c r="IJ47" s="2">
        <v>18.920000000000002</v>
      </c>
      <c r="IK47" s="2">
        <v>19.13</v>
      </c>
      <c r="IL47" s="2">
        <v>19.32</v>
      </c>
      <c r="IM47" s="2">
        <v>19.43</v>
      </c>
      <c r="IN47" s="2">
        <v>18.850000000000001</v>
      </c>
      <c r="IO47" s="2">
        <v>19</v>
      </c>
      <c r="IP47" s="2">
        <v>18.66</v>
      </c>
      <c r="IQ47" s="2">
        <v>18.79</v>
      </c>
      <c r="IR47" s="2">
        <v>18.899999999999999</v>
      </c>
    </row>
    <row r="48" spans="1:252" ht="23.25" customHeight="1" x14ac:dyDescent="0.3">
      <c r="A48" s="4" t="s">
        <v>298</v>
      </c>
      <c r="B48" s="4">
        <v>44</v>
      </c>
      <c r="C48" s="4" t="s">
        <v>341</v>
      </c>
      <c r="D48" s="3" t="s">
        <v>300</v>
      </c>
      <c r="E48" s="3" t="s">
        <v>301</v>
      </c>
      <c r="F48" s="2">
        <v>3.65</v>
      </c>
      <c r="G48" s="2">
        <v>3.72</v>
      </c>
      <c r="H48" s="2">
        <v>3.72</v>
      </c>
      <c r="I48" s="2">
        <v>3.71</v>
      </c>
      <c r="J48" s="2">
        <v>3.71</v>
      </c>
      <c r="K48" s="2">
        <v>3.69</v>
      </c>
      <c r="L48" s="2">
        <v>3.7</v>
      </c>
      <c r="M48" s="2">
        <v>3.74</v>
      </c>
      <c r="N48" s="2">
        <v>3.75</v>
      </c>
      <c r="O48" s="2">
        <v>3.77</v>
      </c>
      <c r="P48" s="2">
        <v>3.76</v>
      </c>
      <c r="Q48" s="2">
        <v>3.76</v>
      </c>
      <c r="R48" s="2">
        <v>3.76</v>
      </c>
      <c r="S48" s="2">
        <v>3.73</v>
      </c>
      <c r="T48" s="2">
        <v>3.76</v>
      </c>
      <c r="U48" s="2">
        <v>3.72</v>
      </c>
      <c r="V48" s="2">
        <v>3.73</v>
      </c>
      <c r="W48" s="2">
        <v>3.75</v>
      </c>
      <c r="X48" s="2">
        <v>3.76</v>
      </c>
      <c r="Y48" s="2">
        <v>3.74</v>
      </c>
      <c r="Z48" s="2">
        <v>3.82</v>
      </c>
      <c r="AA48" s="2">
        <v>3.89</v>
      </c>
      <c r="AB48" s="2">
        <v>3.94</v>
      </c>
      <c r="AC48" s="2">
        <v>3.89</v>
      </c>
      <c r="AD48" s="2">
        <v>3.94</v>
      </c>
      <c r="AE48" s="2">
        <v>3.93</v>
      </c>
      <c r="AF48" s="2">
        <v>3.97</v>
      </c>
      <c r="AG48" s="2">
        <v>3.96</v>
      </c>
      <c r="AH48" s="2">
        <v>3.94</v>
      </c>
      <c r="AI48" s="2">
        <v>3.97</v>
      </c>
      <c r="AJ48" s="2">
        <v>3.97</v>
      </c>
      <c r="AK48" s="2">
        <v>3.98</v>
      </c>
      <c r="AL48" s="2">
        <v>3.98</v>
      </c>
      <c r="AM48" s="2">
        <v>3.97</v>
      </c>
      <c r="AN48" s="2">
        <v>3.99</v>
      </c>
      <c r="AO48" s="2">
        <v>3.97</v>
      </c>
      <c r="AP48" s="2">
        <v>3.97</v>
      </c>
      <c r="AQ48" s="2">
        <v>3.93</v>
      </c>
      <c r="AR48" s="2">
        <v>3.94</v>
      </c>
      <c r="AS48" s="2">
        <v>3.95</v>
      </c>
      <c r="AT48" s="2">
        <v>3.95</v>
      </c>
      <c r="AU48" s="2">
        <v>3.95</v>
      </c>
      <c r="AV48" s="2">
        <v>3.97</v>
      </c>
      <c r="AW48" s="2">
        <v>4.0199999999999996</v>
      </c>
      <c r="AX48" s="2">
        <v>3.89</v>
      </c>
      <c r="AY48" s="2">
        <v>3.92</v>
      </c>
      <c r="AZ48" s="2">
        <v>3.96</v>
      </c>
      <c r="BA48" s="2">
        <v>4.0199999999999996</v>
      </c>
      <c r="BB48" s="2">
        <v>4.01</v>
      </c>
      <c r="BC48" s="2">
        <v>4.01</v>
      </c>
      <c r="BD48" s="2">
        <v>3.95</v>
      </c>
      <c r="BE48" s="2">
        <v>3.94</v>
      </c>
      <c r="BF48" s="2">
        <v>3.99</v>
      </c>
      <c r="BG48" s="2">
        <v>3.95</v>
      </c>
      <c r="BH48" s="2">
        <v>3.99</v>
      </c>
      <c r="BI48" s="2">
        <v>4.01</v>
      </c>
      <c r="BJ48" s="2">
        <v>3.95</v>
      </c>
      <c r="BK48" s="2">
        <v>3.96</v>
      </c>
      <c r="BL48" s="2">
        <v>4.01</v>
      </c>
      <c r="BM48" s="2">
        <v>4.01</v>
      </c>
      <c r="BN48" s="2">
        <v>4.0599999999999996</v>
      </c>
      <c r="BO48" s="2">
        <v>4.05</v>
      </c>
      <c r="BP48" s="2">
        <v>3.98</v>
      </c>
      <c r="BQ48" s="2">
        <v>4</v>
      </c>
      <c r="BR48" s="2">
        <v>3.9</v>
      </c>
      <c r="BS48" s="2">
        <v>3.87</v>
      </c>
      <c r="BT48" s="2">
        <v>3.91</v>
      </c>
      <c r="BU48" s="2">
        <v>3.83</v>
      </c>
      <c r="BV48" s="2">
        <v>3.91</v>
      </c>
      <c r="BW48" s="2">
        <v>3.93</v>
      </c>
      <c r="BX48" s="2">
        <v>3.89</v>
      </c>
      <c r="BY48" s="2">
        <v>3.87</v>
      </c>
      <c r="BZ48" s="2">
        <v>3.9</v>
      </c>
      <c r="CA48" s="2">
        <v>3.9</v>
      </c>
      <c r="CB48" s="2">
        <v>3.9</v>
      </c>
      <c r="CC48" s="2">
        <v>3.86</v>
      </c>
      <c r="CD48" s="2">
        <v>3.88</v>
      </c>
      <c r="CE48" s="2">
        <v>3.85</v>
      </c>
      <c r="CF48" s="2">
        <v>3.84</v>
      </c>
      <c r="CG48" s="2">
        <v>3.84</v>
      </c>
      <c r="CH48" s="2">
        <v>3.89</v>
      </c>
      <c r="CI48" s="2">
        <v>3.87</v>
      </c>
      <c r="CJ48" s="2">
        <v>3.88</v>
      </c>
      <c r="CK48" s="2">
        <v>3.89</v>
      </c>
      <c r="CL48" s="2">
        <v>3.84</v>
      </c>
      <c r="CM48" s="2">
        <v>3.86</v>
      </c>
      <c r="CN48" s="2">
        <v>3.88</v>
      </c>
      <c r="CO48" s="2">
        <v>3.94</v>
      </c>
      <c r="CP48" s="2">
        <v>3.94</v>
      </c>
      <c r="CQ48" s="2">
        <v>3.91</v>
      </c>
      <c r="CR48" s="2">
        <v>3.92</v>
      </c>
      <c r="CS48" s="2">
        <v>3.87</v>
      </c>
      <c r="CT48" s="2">
        <v>3.91</v>
      </c>
      <c r="CU48" s="2">
        <v>3.93</v>
      </c>
      <c r="CV48" s="2">
        <v>3.9</v>
      </c>
      <c r="CW48" s="2">
        <v>3.98</v>
      </c>
      <c r="CX48" s="2">
        <v>3.95</v>
      </c>
      <c r="CY48" s="2">
        <v>3.96</v>
      </c>
      <c r="CZ48" s="2">
        <v>3.97</v>
      </c>
      <c r="DA48" s="2">
        <v>3.99</v>
      </c>
      <c r="DB48" s="2">
        <v>3.99</v>
      </c>
      <c r="DC48" s="2">
        <v>4</v>
      </c>
      <c r="DD48" s="2">
        <v>4.01</v>
      </c>
      <c r="DE48" s="2">
        <v>4</v>
      </c>
      <c r="DF48" s="2">
        <v>4.03</v>
      </c>
      <c r="DG48" s="2">
        <v>4.01</v>
      </c>
      <c r="DH48" s="2">
        <v>4.01</v>
      </c>
      <c r="DI48" s="2">
        <v>4.03</v>
      </c>
      <c r="DJ48" s="2">
        <v>4.03</v>
      </c>
      <c r="DK48" s="2">
        <v>4.01</v>
      </c>
      <c r="DL48" s="2">
        <v>4.0199999999999996</v>
      </c>
      <c r="DM48" s="2">
        <v>4.01</v>
      </c>
      <c r="DN48" s="2">
        <v>4.04</v>
      </c>
      <c r="DO48" s="2">
        <v>4.05</v>
      </c>
      <c r="DP48" s="2">
        <v>4.05</v>
      </c>
      <c r="DQ48" s="2">
        <v>4.08</v>
      </c>
      <c r="DR48" s="2">
        <v>4.08</v>
      </c>
      <c r="DS48" s="2">
        <v>4.07</v>
      </c>
      <c r="DT48" s="2">
        <v>4.05</v>
      </c>
      <c r="DU48" s="2">
        <v>4.08</v>
      </c>
      <c r="DV48" s="2">
        <v>4.0199999999999996</v>
      </c>
      <c r="DW48" s="2">
        <v>4.0199999999999996</v>
      </c>
      <c r="DX48" s="2">
        <v>3.95</v>
      </c>
      <c r="DY48" s="2">
        <v>3.97</v>
      </c>
      <c r="DZ48" s="2">
        <v>4.08</v>
      </c>
      <c r="EA48" s="2">
        <v>4.0199999999999996</v>
      </c>
      <c r="EB48" s="2">
        <v>4.03</v>
      </c>
      <c r="EC48" s="2">
        <v>4.07</v>
      </c>
      <c r="ED48" s="2">
        <v>4.07</v>
      </c>
      <c r="EE48" s="2">
        <v>4.08</v>
      </c>
      <c r="EF48" s="2">
        <v>4.07</v>
      </c>
      <c r="EG48" s="2">
        <v>4.0999999999999996</v>
      </c>
      <c r="EH48" s="2">
        <v>4.0999999999999996</v>
      </c>
      <c r="EI48" s="2">
        <v>4.09</v>
      </c>
      <c r="EJ48" s="2">
        <v>4.09</v>
      </c>
      <c r="EK48" s="2">
        <v>4.1100000000000003</v>
      </c>
      <c r="EL48" s="2">
        <v>4.12</v>
      </c>
      <c r="EM48" s="2">
        <v>4.0999999999999996</v>
      </c>
      <c r="EN48" s="2">
        <v>4.1399999999999997</v>
      </c>
      <c r="EO48" s="2">
        <v>4.05</v>
      </c>
      <c r="EP48" s="2">
        <v>4.09</v>
      </c>
      <c r="EQ48" s="2">
        <v>4.0999999999999996</v>
      </c>
      <c r="ER48" s="2">
        <v>4.09</v>
      </c>
      <c r="ES48" s="2">
        <v>4.09</v>
      </c>
      <c r="ET48" s="2">
        <v>4.13</v>
      </c>
      <c r="EU48" s="2">
        <v>4.09</v>
      </c>
      <c r="EV48" s="2">
        <v>4.13</v>
      </c>
      <c r="EW48" s="2">
        <v>4.13</v>
      </c>
      <c r="EX48" s="2">
        <v>4.1500000000000004</v>
      </c>
      <c r="EY48" s="2">
        <v>4.16</v>
      </c>
      <c r="EZ48" s="2">
        <v>4.13</v>
      </c>
      <c r="FA48" s="2">
        <v>4.13</v>
      </c>
      <c r="FB48" s="2">
        <v>4.17</v>
      </c>
      <c r="FC48" s="2">
        <v>4.16</v>
      </c>
      <c r="FD48" s="2">
        <v>4.2</v>
      </c>
      <c r="FE48" s="2">
        <v>4.21</v>
      </c>
      <c r="FF48" s="2">
        <v>4.18</v>
      </c>
      <c r="FG48" s="2">
        <v>4.1900000000000004</v>
      </c>
      <c r="FH48" s="2">
        <v>4.2</v>
      </c>
      <c r="FI48" s="2">
        <v>4.2300000000000004</v>
      </c>
      <c r="FJ48" s="2">
        <v>4.22</v>
      </c>
      <c r="FK48" s="2">
        <v>4.1900000000000004</v>
      </c>
      <c r="FL48" s="2">
        <v>4.17</v>
      </c>
      <c r="FM48" s="2">
        <v>4.22</v>
      </c>
      <c r="FN48" s="2">
        <v>4.2</v>
      </c>
      <c r="FO48" s="2">
        <v>4.2300000000000004</v>
      </c>
      <c r="FP48" s="2">
        <v>4.24</v>
      </c>
      <c r="FQ48" s="2">
        <v>4.1399999999999997</v>
      </c>
      <c r="FR48" s="2">
        <v>4.2</v>
      </c>
      <c r="FS48" s="2">
        <v>4.21</v>
      </c>
      <c r="FT48" s="2">
        <v>4.2300000000000004</v>
      </c>
      <c r="FU48" s="2">
        <v>4.25</v>
      </c>
      <c r="FV48" s="2">
        <v>4.26</v>
      </c>
      <c r="FW48" s="2">
        <v>4.25</v>
      </c>
      <c r="FX48" s="2">
        <v>4.25</v>
      </c>
      <c r="FY48" s="2">
        <v>4.24</v>
      </c>
      <c r="FZ48" s="2">
        <v>4.2699999999999996</v>
      </c>
      <c r="GA48" s="2">
        <v>4.28</v>
      </c>
      <c r="GB48" s="2">
        <v>4.28</v>
      </c>
      <c r="GC48" s="2">
        <v>4.29</v>
      </c>
      <c r="GD48" s="2">
        <v>4.3</v>
      </c>
      <c r="GE48" s="2">
        <v>4.28</v>
      </c>
      <c r="GF48" s="2">
        <v>4.24</v>
      </c>
      <c r="GG48" s="2">
        <v>4.24</v>
      </c>
      <c r="GH48" s="2">
        <v>4.25</v>
      </c>
      <c r="GI48" s="2">
        <v>4.25</v>
      </c>
      <c r="GJ48" s="2">
        <v>4.3</v>
      </c>
      <c r="GK48" s="2">
        <v>4.32</v>
      </c>
      <c r="GL48" s="2">
        <v>4.3600000000000003</v>
      </c>
      <c r="GM48" s="2">
        <v>4.38</v>
      </c>
      <c r="GN48" s="2">
        <v>4.4000000000000004</v>
      </c>
      <c r="GO48" s="2">
        <v>4.42</v>
      </c>
      <c r="GP48" s="2">
        <v>4.45</v>
      </c>
      <c r="GQ48" s="2">
        <v>4.41</v>
      </c>
      <c r="GR48" s="2">
        <v>4.4000000000000004</v>
      </c>
      <c r="GS48" s="2">
        <v>4.42</v>
      </c>
      <c r="GT48" s="2">
        <v>4.43</v>
      </c>
      <c r="GU48" s="2">
        <v>4.43</v>
      </c>
      <c r="GV48" s="2">
        <v>4.41</v>
      </c>
      <c r="GW48" s="2">
        <v>4.4400000000000004</v>
      </c>
      <c r="GX48" s="2">
        <v>4.46</v>
      </c>
      <c r="GY48" s="2">
        <v>4.4400000000000004</v>
      </c>
      <c r="GZ48" s="2">
        <v>4.45</v>
      </c>
      <c r="HA48" s="2">
        <v>4.46</v>
      </c>
      <c r="HB48" s="2">
        <v>4.4800000000000004</v>
      </c>
      <c r="HC48" s="2">
        <v>4.49</v>
      </c>
      <c r="HD48" s="2">
        <v>4.5</v>
      </c>
      <c r="HE48" s="2">
        <v>4.47</v>
      </c>
      <c r="HF48" s="2">
        <v>4.49</v>
      </c>
      <c r="HG48" s="2">
        <v>4.45</v>
      </c>
      <c r="HH48" s="2">
        <v>4.46</v>
      </c>
      <c r="HI48" s="2">
        <v>4.49</v>
      </c>
      <c r="HJ48" s="2">
        <v>4.5</v>
      </c>
      <c r="HK48" s="2">
        <v>4.49</v>
      </c>
      <c r="HL48" s="2">
        <v>4.51</v>
      </c>
      <c r="HM48" s="2">
        <v>4.49</v>
      </c>
      <c r="HN48" s="2">
        <v>4.46</v>
      </c>
      <c r="HO48" s="2">
        <v>4.47</v>
      </c>
      <c r="HP48" s="2">
        <v>4.4800000000000004</v>
      </c>
      <c r="HQ48" s="2">
        <v>4.4800000000000004</v>
      </c>
      <c r="HR48" s="2">
        <v>4.4800000000000004</v>
      </c>
      <c r="HS48" s="2">
        <v>4.42</v>
      </c>
      <c r="HT48" s="2">
        <v>4.3899999999999997</v>
      </c>
      <c r="HU48" s="2">
        <v>4.37</v>
      </c>
      <c r="HV48" s="2">
        <v>4.37</v>
      </c>
      <c r="HW48" s="2">
        <v>4.3899999999999997</v>
      </c>
      <c r="HX48" s="2">
        <v>4.4000000000000004</v>
      </c>
      <c r="HY48" s="2">
        <v>4.41</v>
      </c>
      <c r="HZ48" s="2">
        <v>4.3899999999999997</v>
      </c>
      <c r="IA48" s="2">
        <v>4.4000000000000004</v>
      </c>
      <c r="IB48" s="2">
        <v>4.3899999999999997</v>
      </c>
      <c r="IC48" s="2">
        <v>4.3899999999999997</v>
      </c>
      <c r="ID48" s="2">
        <v>4.41</v>
      </c>
      <c r="IE48" s="2">
        <v>4.4400000000000004</v>
      </c>
      <c r="IF48" s="2">
        <v>4.46</v>
      </c>
      <c r="IG48" s="2">
        <v>4.43</v>
      </c>
      <c r="IH48" s="2">
        <v>4.4400000000000004</v>
      </c>
      <c r="II48" s="2">
        <v>4.45</v>
      </c>
      <c r="IJ48" s="2">
        <v>4.5</v>
      </c>
      <c r="IK48" s="2">
        <v>4.4800000000000004</v>
      </c>
      <c r="IL48" s="2">
        <v>4.5199999999999996</v>
      </c>
      <c r="IM48" s="2">
        <v>4.57</v>
      </c>
      <c r="IN48" s="2">
        <v>4.49</v>
      </c>
      <c r="IO48" s="2">
        <v>4.59</v>
      </c>
      <c r="IP48" s="2">
        <v>4.49</v>
      </c>
      <c r="IQ48" s="2">
        <v>4.49</v>
      </c>
      <c r="IR48" s="2">
        <v>4.47</v>
      </c>
    </row>
    <row r="49" spans="1:252" ht="23.25" customHeight="1" x14ac:dyDescent="0.3">
      <c r="A49" s="4" t="s">
        <v>298</v>
      </c>
      <c r="B49" s="4">
        <v>45</v>
      </c>
      <c r="C49" s="4" t="s">
        <v>342</v>
      </c>
      <c r="D49" s="3" t="s">
        <v>300</v>
      </c>
      <c r="E49" s="3" t="s">
        <v>301</v>
      </c>
      <c r="F49" s="2">
        <v>357.34</v>
      </c>
      <c r="G49" s="2">
        <v>359.53</v>
      </c>
      <c r="H49" s="2">
        <v>360.07</v>
      </c>
      <c r="I49" s="2">
        <v>358.89</v>
      </c>
      <c r="J49" s="2">
        <v>358.57</v>
      </c>
      <c r="K49" s="2">
        <v>356.15</v>
      </c>
      <c r="L49" s="2">
        <v>357.98</v>
      </c>
      <c r="M49" s="2">
        <v>360.92</v>
      </c>
      <c r="N49" s="2">
        <v>362.33</v>
      </c>
      <c r="O49" s="2">
        <v>363.89</v>
      </c>
      <c r="P49" s="2">
        <v>363.28</v>
      </c>
      <c r="Q49" s="2">
        <v>363.18</v>
      </c>
      <c r="R49" s="2">
        <v>363.53</v>
      </c>
      <c r="S49" s="2">
        <v>359.39</v>
      </c>
      <c r="T49" s="2">
        <v>363.24</v>
      </c>
      <c r="U49" s="2">
        <v>361.15</v>
      </c>
      <c r="V49" s="2">
        <v>360.86</v>
      </c>
      <c r="W49" s="2">
        <v>363.28</v>
      </c>
      <c r="X49" s="2">
        <v>362.86</v>
      </c>
      <c r="Y49" s="2">
        <v>359.47</v>
      </c>
      <c r="Z49" s="2">
        <v>367.58</v>
      </c>
      <c r="AA49" s="2">
        <v>372.15</v>
      </c>
      <c r="AB49" s="2">
        <v>378.19</v>
      </c>
      <c r="AC49" s="2">
        <v>372.76</v>
      </c>
      <c r="AD49" s="2">
        <v>376.49</v>
      </c>
      <c r="AE49" s="2">
        <v>374.7</v>
      </c>
      <c r="AF49" s="2">
        <v>379.02</v>
      </c>
      <c r="AG49" s="2">
        <v>377.33</v>
      </c>
      <c r="AH49" s="2">
        <v>376.67</v>
      </c>
      <c r="AI49" s="2">
        <v>378.29</v>
      </c>
      <c r="AJ49" s="2">
        <v>377.79</v>
      </c>
      <c r="AK49" s="2">
        <v>378.75</v>
      </c>
      <c r="AL49" s="2">
        <v>378.26</v>
      </c>
      <c r="AM49" s="2">
        <v>377.8</v>
      </c>
      <c r="AN49" s="2">
        <v>378.4</v>
      </c>
      <c r="AO49" s="2">
        <v>379.7</v>
      </c>
      <c r="AP49" s="2">
        <v>380.8</v>
      </c>
      <c r="AQ49" s="2">
        <v>375.94</v>
      </c>
      <c r="AR49" s="2">
        <v>378.38</v>
      </c>
      <c r="AS49" s="2">
        <v>379.89</v>
      </c>
      <c r="AT49" s="2">
        <v>380.05</v>
      </c>
      <c r="AU49" s="2">
        <v>379.86</v>
      </c>
      <c r="AV49" s="2">
        <v>381.05</v>
      </c>
      <c r="AW49" s="2">
        <v>383.69</v>
      </c>
      <c r="AX49" s="2">
        <v>370.79</v>
      </c>
      <c r="AY49" s="2">
        <v>372.46</v>
      </c>
      <c r="AZ49" s="2">
        <v>377.72</v>
      </c>
      <c r="BA49" s="2">
        <v>383.32</v>
      </c>
      <c r="BB49" s="2">
        <v>383.6</v>
      </c>
      <c r="BC49" s="2">
        <v>383.5</v>
      </c>
      <c r="BD49" s="2">
        <v>378.48</v>
      </c>
      <c r="BE49" s="2">
        <v>374.06</v>
      </c>
      <c r="BF49" s="2">
        <v>380.19</v>
      </c>
      <c r="BG49" s="2">
        <v>377.28</v>
      </c>
      <c r="BH49" s="2">
        <v>379.19</v>
      </c>
      <c r="BI49" s="2">
        <v>382.8</v>
      </c>
      <c r="BJ49" s="2">
        <v>376.89</v>
      </c>
      <c r="BK49" s="2">
        <v>377.64</v>
      </c>
      <c r="BL49" s="2">
        <v>380.81</v>
      </c>
      <c r="BM49" s="2">
        <v>381.28</v>
      </c>
      <c r="BN49" s="2">
        <v>384.63</v>
      </c>
      <c r="BO49" s="2">
        <v>383.46</v>
      </c>
      <c r="BP49" s="2">
        <v>376.07</v>
      </c>
      <c r="BQ49" s="2">
        <v>378.21</v>
      </c>
      <c r="BR49" s="2">
        <v>369.16</v>
      </c>
      <c r="BS49" s="2">
        <v>368.34</v>
      </c>
      <c r="BT49" s="2">
        <v>372.46</v>
      </c>
      <c r="BU49" s="2">
        <v>366.11</v>
      </c>
      <c r="BV49" s="2">
        <v>373.03</v>
      </c>
      <c r="BW49" s="2">
        <v>374.23</v>
      </c>
      <c r="BX49" s="2">
        <v>368.77</v>
      </c>
      <c r="BY49" s="2">
        <v>364.84</v>
      </c>
      <c r="BZ49" s="2">
        <v>369.68</v>
      </c>
      <c r="CA49" s="2">
        <v>370.7</v>
      </c>
      <c r="CB49" s="2">
        <v>370</v>
      </c>
      <c r="CC49" s="2">
        <v>366.07</v>
      </c>
      <c r="CD49" s="2">
        <v>368.71</v>
      </c>
      <c r="CE49" s="2">
        <v>366.3</v>
      </c>
      <c r="CF49" s="2">
        <v>365.08</v>
      </c>
      <c r="CG49" s="2">
        <v>366.01</v>
      </c>
      <c r="CH49" s="2">
        <v>370.45</v>
      </c>
      <c r="CI49" s="2">
        <v>366.23</v>
      </c>
      <c r="CJ49" s="2">
        <v>366.57</v>
      </c>
      <c r="CK49" s="2">
        <v>366.56</v>
      </c>
      <c r="CL49" s="2">
        <v>361.72</v>
      </c>
      <c r="CM49" s="2">
        <v>363.55</v>
      </c>
      <c r="CN49" s="2">
        <v>365.09</v>
      </c>
      <c r="CO49" s="2">
        <v>370.33</v>
      </c>
      <c r="CP49" s="2">
        <v>370.23</v>
      </c>
      <c r="CQ49" s="2">
        <v>369.41</v>
      </c>
      <c r="CR49" s="2">
        <v>369.01</v>
      </c>
      <c r="CS49" s="2">
        <v>365.59</v>
      </c>
      <c r="CT49" s="2">
        <v>368.83</v>
      </c>
      <c r="CU49" s="2">
        <v>371.14</v>
      </c>
      <c r="CV49" s="2">
        <v>367.99</v>
      </c>
      <c r="CW49" s="2">
        <v>374.83</v>
      </c>
      <c r="CX49" s="2">
        <v>372.62</v>
      </c>
      <c r="CY49" s="2">
        <v>373.66</v>
      </c>
      <c r="CZ49" s="2">
        <v>374.16</v>
      </c>
      <c r="DA49" s="2">
        <v>375.33</v>
      </c>
      <c r="DB49" s="2">
        <v>375.8</v>
      </c>
      <c r="DC49" s="2">
        <v>375.63</v>
      </c>
      <c r="DD49" s="2">
        <v>376.2</v>
      </c>
      <c r="DE49" s="2">
        <v>376.43</v>
      </c>
      <c r="DF49" s="2">
        <v>378.79</v>
      </c>
      <c r="DG49" s="2">
        <v>377.43</v>
      </c>
      <c r="DH49" s="2">
        <v>377.97</v>
      </c>
      <c r="DI49" s="2">
        <v>379.6</v>
      </c>
      <c r="DJ49" s="2">
        <v>378.09</v>
      </c>
      <c r="DK49" s="2">
        <v>376.01</v>
      </c>
      <c r="DL49" s="2">
        <v>377.75</v>
      </c>
      <c r="DM49" s="2">
        <v>376.21</v>
      </c>
      <c r="DN49" s="2">
        <v>379.32</v>
      </c>
      <c r="DO49" s="2">
        <v>379.48</v>
      </c>
      <c r="DP49" s="2">
        <v>380.84</v>
      </c>
      <c r="DQ49" s="2">
        <v>383.24</v>
      </c>
      <c r="DR49" s="2">
        <v>383.01</v>
      </c>
      <c r="DS49" s="2">
        <v>382.04</v>
      </c>
      <c r="DT49" s="2">
        <v>377.87</v>
      </c>
      <c r="DU49" s="2">
        <v>380.86</v>
      </c>
      <c r="DV49" s="2">
        <v>375.16</v>
      </c>
      <c r="DW49" s="2">
        <v>375.56</v>
      </c>
      <c r="DX49" s="2">
        <v>369.73</v>
      </c>
      <c r="DY49" s="2">
        <v>371.37</v>
      </c>
      <c r="DZ49" s="2">
        <v>379.8</v>
      </c>
      <c r="EA49" s="2">
        <v>375.34</v>
      </c>
      <c r="EB49" s="2">
        <v>374.94</v>
      </c>
      <c r="EC49" s="2">
        <v>379.19</v>
      </c>
      <c r="ED49" s="2">
        <v>379.74</v>
      </c>
      <c r="EE49" s="2">
        <v>380.21</v>
      </c>
      <c r="EF49" s="2">
        <v>378.73</v>
      </c>
      <c r="EG49" s="2">
        <v>381.45</v>
      </c>
      <c r="EH49" s="2">
        <v>380.94</v>
      </c>
      <c r="EI49" s="2">
        <v>380.04</v>
      </c>
      <c r="EJ49" s="2">
        <v>380.23</v>
      </c>
      <c r="EK49" s="2">
        <v>381.22</v>
      </c>
      <c r="EL49" s="2">
        <v>383.28</v>
      </c>
      <c r="EM49" s="2">
        <v>381.46</v>
      </c>
      <c r="EN49" s="2">
        <v>383.65</v>
      </c>
      <c r="EO49" s="2">
        <v>377.99</v>
      </c>
      <c r="EP49" s="2">
        <v>380.28</v>
      </c>
      <c r="EQ49" s="2">
        <v>380.79</v>
      </c>
      <c r="ER49" s="2">
        <v>380.39</v>
      </c>
      <c r="ES49" s="2">
        <v>380.51</v>
      </c>
      <c r="ET49" s="2">
        <v>382.6</v>
      </c>
      <c r="EU49" s="2">
        <v>379.84</v>
      </c>
      <c r="EV49" s="2">
        <v>382.13</v>
      </c>
      <c r="EW49" s="2">
        <v>381.65</v>
      </c>
      <c r="EX49" s="2">
        <v>383.08</v>
      </c>
      <c r="EY49" s="2">
        <v>385.12</v>
      </c>
      <c r="EZ49" s="2">
        <v>382.05</v>
      </c>
      <c r="FA49" s="2">
        <v>381</v>
      </c>
      <c r="FB49" s="2">
        <v>383.27</v>
      </c>
      <c r="FC49" s="2">
        <v>382.75</v>
      </c>
      <c r="FD49" s="2">
        <v>384.72</v>
      </c>
      <c r="FE49" s="2">
        <v>386.01</v>
      </c>
      <c r="FF49" s="2">
        <v>383.5</v>
      </c>
      <c r="FG49" s="2">
        <v>383.13</v>
      </c>
      <c r="FH49" s="2">
        <v>383.43</v>
      </c>
      <c r="FI49" s="2">
        <v>386.5</v>
      </c>
      <c r="FJ49" s="2">
        <v>386.59</v>
      </c>
      <c r="FK49" s="2">
        <v>383.74</v>
      </c>
      <c r="FL49" s="2">
        <v>382.51</v>
      </c>
      <c r="FM49" s="2">
        <v>387.05</v>
      </c>
      <c r="FN49" s="2">
        <v>385.17</v>
      </c>
      <c r="FO49" s="2">
        <v>386.26</v>
      </c>
      <c r="FP49" s="2">
        <v>387.25</v>
      </c>
      <c r="FQ49" s="2">
        <v>380.72</v>
      </c>
      <c r="FR49" s="2">
        <v>386.8</v>
      </c>
      <c r="FS49" s="2">
        <v>387.55</v>
      </c>
      <c r="FT49" s="2">
        <v>388.88</v>
      </c>
      <c r="FU49" s="2">
        <v>389.99</v>
      </c>
      <c r="FV49" s="2">
        <v>390.82</v>
      </c>
      <c r="FW49" s="2">
        <v>389.61</v>
      </c>
      <c r="FX49" s="2">
        <v>390.28</v>
      </c>
      <c r="FY49" s="2">
        <v>389.49</v>
      </c>
      <c r="FZ49" s="2">
        <v>392.21</v>
      </c>
      <c r="GA49" s="2">
        <v>394.43</v>
      </c>
      <c r="GB49" s="2">
        <v>393.64</v>
      </c>
      <c r="GC49" s="2">
        <v>394.13</v>
      </c>
      <c r="GD49" s="2">
        <v>394.87</v>
      </c>
      <c r="GE49" s="2">
        <v>391.95</v>
      </c>
      <c r="GF49" s="2">
        <v>387.84</v>
      </c>
      <c r="GG49" s="2">
        <v>386.92</v>
      </c>
      <c r="GH49" s="2">
        <v>386.92</v>
      </c>
      <c r="GI49" s="2">
        <v>387.49</v>
      </c>
      <c r="GJ49" s="2">
        <v>390.86</v>
      </c>
      <c r="GK49" s="2">
        <v>392.82</v>
      </c>
      <c r="GL49" s="2">
        <v>396</v>
      </c>
      <c r="GM49" s="2">
        <v>396.76</v>
      </c>
      <c r="GN49" s="2">
        <v>400.5</v>
      </c>
      <c r="GO49" s="2">
        <v>401.53</v>
      </c>
      <c r="GP49" s="2">
        <v>403.88</v>
      </c>
      <c r="GQ49" s="2">
        <v>401.22</v>
      </c>
      <c r="GR49" s="2">
        <v>399.23</v>
      </c>
      <c r="GS49" s="2">
        <v>400.28</v>
      </c>
      <c r="GT49" s="2">
        <v>399.73</v>
      </c>
      <c r="GU49" s="2">
        <v>399.58</v>
      </c>
      <c r="GV49" s="2">
        <v>399.81</v>
      </c>
      <c r="GW49" s="2">
        <v>400.9</v>
      </c>
      <c r="GX49" s="2">
        <v>403.68</v>
      </c>
      <c r="GY49" s="2">
        <v>400.71</v>
      </c>
      <c r="GZ49" s="2">
        <v>401.82</v>
      </c>
      <c r="HA49" s="2">
        <v>401.66</v>
      </c>
      <c r="HB49" s="2">
        <v>403.23</v>
      </c>
      <c r="HC49" s="2">
        <v>403.61</v>
      </c>
      <c r="HD49" s="2">
        <v>405.62</v>
      </c>
      <c r="HE49" s="2">
        <v>404.69</v>
      </c>
      <c r="HF49" s="2">
        <v>405.25</v>
      </c>
      <c r="HG49" s="2">
        <v>403.45</v>
      </c>
      <c r="HH49" s="2">
        <v>404.47</v>
      </c>
      <c r="HI49" s="2">
        <v>407.17</v>
      </c>
      <c r="HJ49" s="2">
        <v>408.26</v>
      </c>
      <c r="HK49" s="2">
        <v>409.26</v>
      </c>
      <c r="HL49" s="2">
        <v>410.74</v>
      </c>
      <c r="HM49" s="2">
        <v>410.67</v>
      </c>
      <c r="HN49" s="2">
        <v>412.01</v>
      </c>
      <c r="HO49" s="2">
        <v>412.11</v>
      </c>
      <c r="HP49" s="2">
        <v>411.63</v>
      </c>
      <c r="HQ49" s="2">
        <v>412.6</v>
      </c>
      <c r="HR49" s="2">
        <v>414.4</v>
      </c>
      <c r="HS49" s="2">
        <v>408.24</v>
      </c>
      <c r="HT49" s="2">
        <v>402.94</v>
      </c>
      <c r="HU49" s="2">
        <v>399.4</v>
      </c>
      <c r="HV49" s="2">
        <v>399.1</v>
      </c>
      <c r="HW49" s="2">
        <v>399.8</v>
      </c>
      <c r="HX49" s="2">
        <v>401.24</v>
      </c>
      <c r="HY49" s="2">
        <v>402.54</v>
      </c>
      <c r="HZ49" s="2">
        <v>401.4</v>
      </c>
      <c r="IA49" s="2">
        <v>401.84</v>
      </c>
      <c r="IB49" s="2">
        <v>401.19</v>
      </c>
      <c r="IC49" s="2">
        <v>402.03</v>
      </c>
      <c r="ID49" s="2">
        <v>405.55</v>
      </c>
      <c r="IE49" s="2">
        <v>407.08</v>
      </c>
      <c r="IF49" s="2">
        <v>408.6</v>
      </c>
      <c r="IG49" s="2">
        <v>405.12</v>
      </c>
      <c r="IH49" s="2">
        <v>404.79</v>
      </c>
      <c r="II49" s="2">
        <v>406.2</v>
      </c>
      <c r="IJ49" s="2">
        <v>409.9</v>
      </c>
      <c r="IK49" s="2">
        <v>408.56</v>
      </c>
      <c r="IL49" s="2">
        <v>411.23</v>
      </c>
      <c r="IM49" s="2">
        <v>412.95</v>
      </c>
      <c r="IN49" s="2">
        <v>407.47</v>
      </c>
      <c r="IO49" s="2">
        <v>415.11</v>
      </c>
      <c r="IP49" s="2">
        <v>406.13</v>
      </c>
      <c r="IQ49" s="2">
        <v>406.18</v>
      </c>
      <c r="IR49" s="2">
        <v>403.74</v>
      </c>
    </row>
    <row r="50" spans="1:252" ht="23.25" customHeight="1" x14ac:dyDescent="0.3">
      <c r="A50" s="4" t="s">
        <v>298</v>
      </c>
      <c r="B50" s="4">
        <v>46</v>
      </c>
      <c r="C50" s="4" t="s">
        <v>343</v>
      </c>
      <c r="D50" s="3" t="s">
        <v>300</v>
      </c>
      <c r="E50" s="3" t="s">
        <v>301</v>
      </c>
      <c r="F50" s="2">
        <v>59.21</v>
      </c>
      <c r="G50" s="2">
        <v>60.25</v>
      </c>
      <c r="H50" s="2">
        <v>60.25</v>
      </c>
      <c r="I50" s="2">
        <v>59.9</v>
      </c>
      <c r="J50" s="2">
        <v>59.87</v>
      </c>
      <c r="K50" s="2">
        <v>59.41</v>
      </c>
      <c r="L50" s="2">
        <v>59.7</v>
      </c>
      <c r="M50" s="2">
        <v>59.98</v>
      </c>
      <c r="N50" s="2">
        <v>60.2</v>
      </c>
      <c r="O50" s="2">
        <v>60.61</v>
      </c>
      <c r="P50" s="2">
        <v>60.47</v>
      </c>
      <c r="Q50" s="2">
        <v>60.29</v>
      </c>
      <c r="R50" s="2">
        <v>60.15</v>
      </c>
      <c r="S50" s="2">
        <v>59.81</v>
      </c>
      <c r="T50" s="2">
        <v>60.33</v>
      </c>
      <c r="U50" s="2">
        <v>59.88</v>
      </c>
      <c r="V50" s="2">
        <v>59.82</v>
      </c>
      <c r="W50" s="2">
        <v>60.35</v>
      </c>
      <c r="X50" s="2">
        <v>60.22</v>
      </c>
      <c r="Y50" s="2">
        <v>59.9</v>
      </c>
      <c r="Z50" s="2">
        <v>61.15</v>
      </c>
      <c r="AA50" s="2">
        <v>61.88</v>
      </c>
      <c r="AB50" s="2">
        <v>62.9</v>
      </c>
      <c r="AC50" s="2">
        <v>62.14</v>
      </c>
      <c r="AD50" s="2">
        <v>62.9</v>
      </c>
      <c r="AE50" s="2">
        <v>62.84</v>
      </c>
      <c r="AF50" s="2">
        <v>63.65</v>
      </c>
      <c r="AG50" s="2">
        <v>63.19</v>
      </c>
      <c r="AH50" s="2">
        <v>62.91</v>
      </c>
      <c r="AI50" s="2">
        <v>63.29</v>
      </c>
      <c r="AJ50" s="2">
        <v>63.14</v>
      </c>
      <c r="AK50" s="2">
        <v>63.25</v>
      </c>
      <c r="AL50" s="2">
        <v>63.37</v>
      </c>
      <c r="AM50" s="2">
        <v>63.34</v>
      </c>
      <c r="AN50" s="2">
        <v>63.52</v>
      </c>
      <c r="AO50" s="2">
        <v>63.57</v>
      </c>
      <c r="AP50" s="2">
        <v>63.68</v>
      </c>
      <c r="AQ50" s="2">
        <v>63.21</v>
      </c>
      <c r="AR50" s="2">
        <v>63.45</v>
      </c>
      <c r="AS50" s="2">
        <v>63.7</v>
      </c>
      <c r="AT50" s="2">
        <v>63.77</v>
      </c>
      <c r="AU50" s="2">
        <v>63.72</v>
      </c>
      <c r="AV50" s="2">
        <v>63.82</v>
      </c>
      <c r="AW50" s="2">
        <v>64.69</v>
      </c>
      <c r="AX50" s="2">
        <v>62.47</v>
      </c>
      <c r="AY50" s="2">
        <v>63.42</v>
      </c>
      <c r="AZ50" s="2">
        <v>63.98</v>
      </c>
      <c r="BA50" s="2">
        <v>64.8</v>
      </c>
      <c r="BB50" s="2">
        <v>65.22</v>
      </c>
      <c r="BC50" s="2">
        <v>65.599999999999994</v>
      </c>
      <c r="BD50" s="2">
        <v>64.53</v>
      </c>
      <c r="BE50" s="2">
        <v>64.03</v>
      </c>
      <c r="BF50" s="2">
        <v>65.010000000000005</v>
      </c>
      <c r="BG50" s="2">
        <v>64.459999999999994</v>
      </c>
      <c r="BH50" s="2">
        <v>64.900000000000006</v>
      </c>
      <c r="BI50" s="2">
        <v>65.319999999999993</v>
      </c>
      <c r="BJ50" s="2">
        <v>64.42</v>
      </c>
      <c r="BK50" s="2">
        <v>64.680000000000007</v>
      </c>
      <c r="BL50" s="2">
        <v>65.239999999999995</v>
      </c>
      <c r="BM50" s="2">
        <v>65.27</v>
      </c>
      <c r="BN50" s="2">
        <v>65.819999999999993</v>
      </c>
      <c r="BO50" s="2">
        <v>65.650000000000006</v>
      </c>
      <c r="BP50" s="2">
        <v>64.59</v>
      </c>
      <c r="BQ50" s="2">
        <v>64.81</v>
      </c>
      <c r="BR50" s="2">
        <v>63.28</v>
      </c>
      <c r="BS50" s="2">
        <v>62.93</v>
      </c>
      <c r="BT50" s="2">
        <v>63.3</v>
      </c>
      <c r="BU50" s="2">
        <v>62.17</v>
      </c>
      <c r="BV50" s="2">
        <v>63.51</v>
      </c>
      <c r="BW50" s="2">
        <v>63.52</v>
      </c>
      <c r="BX50" s="2">
        <v>62.81</v>
      </c>
      <c r="BY50" s="2">
        <v>62.65</v>
      </c>
      <c r="BZ50" s="2">
        <v>63.11</v>
      </c>
      <c r="CA50" s="2">
        <v>63.09</v>
      </c>
      <c r="CB50" s="2">
        <v>63.05</v>
      </c>
      <c r="CC50" s="2">
        <v>62.47</v>
      </c>
      <c r="CD50" s="2">
        <v>63.03</v>
      </c>
      <c r="CE50" s="2">
        <v>62.49</v>
      </c>
      <c r="CF50" s="2">
        <v>62.28</v>
      </c>
      <c r="CG50" s="2">
        <v>62.22</v>
      </c>
      <c r="CH50" s="2">
        <v>63.05</v>
      </c>
      <c r="CI50" s="2">
        <v>62.69</v>
      </c>
      <c r="CJ50" s="2">
        <v>62.94</v>
      </c>
      <c r="CK50" s="2">
        <v>63.21</v>
      </c>
      <c r="CL50" s="2">
        <v>62.54</v>
      </c>
      <c r="CM50" s="2">
        <v>62.59</v>
      </c>
      <c r="CN50" s="2">
        <v>62.74</v>
      </c>
      <c r="CO50" s="2">
        <v>63.56</v>
      </c>
      <c r="CP50" s="2">
        <v>63.75</v>
      </c>
      <c r="CQ50" s="2">
        <v>63.56</v>
      </c>
      <c r="CR50" s="2">
        <v>63.54</v>
      </c>
      <c r="CS50" s="2">
        <v>62.95</v>
      </c>
      <c r="CT50" s="2">
        <v>63.53</v>
      </c>
      <c r="CU50" s="2">
        <v>63.96</v>
      </c>
      <c r="CV50" s="2">
        <v>63.4</v>
      </c>
      <c r="CW50" s="2">
        <v>64.52</v>
      </c>
      <c r="CX50" s="2">
        <v>63.95</v>
      </c>
      <c r="CY50" s="2">
        <v>64.16</v>
      </c>
      <c r="CZ50" s="2">
        <v>64.13</v>
      </c>
      <c r="DA50" s="2">
        <v>64.319999999999993</v>
      </c>
      <c r="DB50" s="2">
        <v>64.510000000000005</v>
      </c>
      <c r="DC50" s="2">
        <v>64.67</v>
      </c>
      <c r="DD50" s="2">
        <v>65.02</v>
      </c>
      <c r="DE50" s="2">
        <v>64.84</v>
      </c>
      <c r="DF50" s="2">
        <v>65.209999999999994</v>
      </c>
      <c r="DG50" s="2">
        <v>65.09</v>
      </c>
      <c r="DH50" s="2">
        <v>65.099999999999994</v>
      </c>
      <c r="DI50" s="2">
        <v>65.34</v>
      </c>
      <c r="DJ50" s="2">
        <v>65.239999999999995</v>
      </c>
      <c r="DK50" s="2">
        <v>65.040000000000006</v>
      </c>
      <c r="DL50" s="2">
        <v>65.19</v>
      </c>
      <c r="DM50" s="2">
        <v>65.05</v>
      </c>
      <c r="DN50" s="2">
        <v>65.510000000000005</v>
      </c>
      <c r="DO50" s="2">
        <v>65.58</v>
      </c>
      <c r="DP50" s="2">
        <v>65.69</v>
      </c>
      <c r="DQ50" s="2">
        <v>66.06</v>
      </c>
      <c r="DR50" s="2">
        <v>66.150000000000006</v>
      </c>
      <c r="DS50" s="2">
        <v>66.040000000000006</v>
      </c>
      <c r="DT50" s="2">
        <v>65.540000000000006</v>
      </c>
      <c r="DU50" s="2">
        <v>65.89</v>
      </c>
      <c r="DV50" s="2">
        <v>65.03</v>
      </c>
      <c r="DW50" s="2">
        <v>65.34</v>
      </c>
      <c r="DX50" s="2">
        <v>64.25</v>
      </c>
      <c r="DY50" s="2">
        <v>64.62</v>
      </c>
      <c r="DZ50" s="2">
        <v>65.95</v>
      </c>
      <c r="EA50" s="2">
        <v>65.25</v>
      </c>
      <c r="EB50" s="2">
        <v>65.260000000000005</v>
      </c>
      <c r="EC50" s="2">
        <v>65.95</v>
      </c>
      <c r="ED50" s="2">
        <v>66.040000000000006</v>
      </c>
      <c r="EE50" s="2">
        <v>66.03</v>
      </c>
      <c r="EF50" s="2">
        <v>65.91</v>
      </c>
      <c r="EG50" s="2">
        <v>66.33</v>
      </c>
      <c r="EH50" s="2">
        <v>66.23</v>
      </c>
      <c r="EI50" s="2">
        <v>66.11</v>
      </c>
      <c r="EJ50" s="2">
        <v>66.05</v>
      </c>
      <c r="EK50" s="2">
        <v>66.16</v>
      </c>
      <c r="EL50" s="2">
        <v>66.5</v>
      </c>
      <c r="EM50" s="2">
        <v>66.069999999999993</v>
      </c>
      <c r="EN50" s="2">
        <v>66.56</v>
      </c>
      <c r="EO50" s="2">
        <v>65.58</v>
      </c>
      <c r="EP50" s="2">
        <v>66.05</v>
      </c>
      <c r="EQ50" s="2">
        <v>66.23</v>
      </c>
      <c r="ER50" s="2">
        <v>66.11</v>
      </c>
      <c r="ES50" s="2">
        <v>66.36</v>
      </c>
      <c r="ET50" s="2">
        <v>66.77</v>
      </c>
      <c r="EU50" s="2">
        <v>66.17</v>
      </c>
      <c r="EV50" s="2">
        <v>66.5</v>
      </c>
      <c r="EW50" s="2">
        <v>66.349999999999994</v>
      </c>
      <c r="EX50" s="2">
        <v>66.819999999999993</v>
      </c>
      <c r="EY50" s="2">
        <v>67.2</v>
      </c>
      <c r="EZ50" s="2">
        <v>66.7</v>
      </c>
      <c r="FA50" s="2">
        <v>66.56</v>
      </c>
      <c r="FB50" s="2">
        <v>66.94</v>
      </c>
      <c r="FC50" s="2">
        <v>66.94</v>
      </c>
      <c r="FD50" s="2">
        <v>67.19</v>
      </c>
      <c r="FE50" s="2">
        <v>67.459999999999994</v>
      </c>
      <c r="FF50" s="2">
        <v>67.08</v>
      </c>
      <c r="FG50" s="2">
        <v>67.150000000000006</v>
      </c>
      <c r="FH50" s="2">
        <v>67.27</v>
      </c>
      <c r="FI50" s="2">
        <v>67.849999999999994</v>
      </c>
      <c r="FJ50" s="2">
        <v>67.91</v>
      </c>
      <c r="FK50" s="2">
        <v>67.39</v>
      </c>
      <c r="FL50" s="2">
        <v>67.13</v>
      </c>
      <c r="FM50" s="2">
        <v>67.989999999999995</v>
      </c>
      <c r="FN50" s="2">
        <v>67.680000000000007</v>
      </c>
      <c r="FO50" s="2">
        <v>67.709999999999994</v>
      </c>
      <c r="FP50" s="2">
        <v>68</v>
      </c>
      <c r="FQ50" s="2">
        <v>66.5</v>
      </c>
      <c r="FR50" s="2">
        <v>67.88</v>
      </c>
      <c r="FS50" s="2">
        <v>67.900000000000006</v>
      </c>
      <c r="FT50" s="2">
        <v>68.209999999999994</v>
      </c>
      <c r="FU50" s="2">
        <v>68.290000000000006</v>
      </c>
      <c r="FV50" s="2">
        <v>68.349999999999994</v>
      </c>
      <c r="FW50" s="2">
        <v>68.08</v>
      </c>
      <c r="FX50" s="2">
        <v>68.05</v>
      </c>
      <c r="FY50" s="2">
        <v>67.95</v>
      </c>
      <c r="FZ50" s="2">
        <v>68.33</v>
      </c>
      <c r="GA50" s="2">
        <v>68.64</v>
      </c>
      <c r="GB50" s="2">
        <v>68.7</v>
      </c>
      <c r="GC50" s="2">
        <v>68.61</v>
      </c>
      <c r="GD50" s="2">
        <v>68.72</v>
      </c>
      <c r="GE50" s="2">
        <v>68.23</v>
      </c>
      <c r="GF50" s="2">
        <v>67.67</v>
      </c>
      <c r="GG50" s="2">
        <v>67.66</v>
      </c>
      <c r="GH50" s="2">
        <v>67.650000000000006</v>
      </c>
      <c r="GI50" s="2">
        <v>67.72</v>
      </c>
      <c r="GJ50" s="2">
        <v>68.290000000000006</v>
      </c>
      <c r="GK50" s="2">
        <v>68.599999999999994</v>
      </c>
      <c r="GL50" s="2">
        <v>69.03</v>
      </c>
      <c r="GM50" s="2">
        <v>69.19</v>
      </c>
      <c r="GN50" s="2">
        <v>69.87</v>
      </c>
      <c r="GO50" s="2">
        <v>70.12</v>
      </c>
      <c r="GP50" s="2">
        <v>70.66</v>
      </c>
      <c r="GQ50" s="2">
        <v>70.09</v>
      </c>
      <c r="GR50" s="2">
        <v>69.98</v>
      </c>
      <c r="GS50" s="2">
        <v>70.17</v>
      </c>
      <c r="GT50" s="2">
        <v>69.94</v>
      </c>
      <c r="GU50" s="2">
        <v>69.959999999999994</v>
      </c>
      <c r="GV50" s="2">
        <v>69.89</v>
      </c>
      <c r="GW50" s="2">
        <v>70.25</v>
      </c>
      <c r="GX50" s="2">
        <v>70.53</v>
      </c>
      <c r="GY50" s="2">
        <v>70.2</v>
      </c>
      <c r="GZ50" s="2">
        <v>70.319999999999993</v>
      </c>
      <c r="HA50" s="2">
        <v>70.34</v>
      </c>
      <c r="HB50" s="2">
        <v>70.599999999999994</v>
      </c>
      <c r="HC50" s="2">
        <v>70.73</v>
      </c>
      <c r="HD50" s="2">
        <v>71.069999999999993</v>
      </c>
      <c r="HE50" s="2">
        <v>70.760000000000005</v>
      </c>
      <c r="HF50" s="2">
        <v>70.8</v>
      </c>
      <c r="HG50" s="2">
        <v>70.400000000000006</v>
      </c>
      <c r="HH50" s="2">
        <v>70.52</v>
      </c>
      <c r="HI50" s="2">
        <v>70.930000000000007</v>
      </c>
      <c r="HJ50" s="2">
        <v>71.28</v>
      </c>
      <c r="HK50" s="2">
        <v>71.23</v>
      </c>
      <c r="HL50" s="2">
        <v>71.260000000000005</v>
      </c>
      <c r="HM50" s="2">
        <v>71.14</v>
      </c>
      <c r="HN50" s="2">
        <v>71.209999999999994</v>
      </c>
      <c r="HO50" s="2">
        <v>71.09</v>
      </c>
      <c r="HP50" s="2">
        <v>71.16</v>
      </c>
      <c r="HQ50" s="2">
        <v>71.489999999999995</v>
      </c>
      <c r="HR50" s="2">
        <v>71.989999999999995</v>
      </c>
      <c r="HS50" s="2">
        <v>70.819999999999993</v>
      </c>
      <c r="HT50" s="2">
        <v>70</v>
      </c>
      <c r="HU50" s="2">
        <v>69.540000000000006</v>
      </c>
      <c r="HV50" s="2">
        <v>69.540000000000006</v>
      </c>
      <c r="HW50" s="2">
        <v>69.73</v>
      </c>
      <c r="HX50" s="2">
        <v>69.94</v>
      </c>
      <c r="HY50" s="2">
        <v>70.09</v>
      </c>
      <c r="HZ50" s="2">
        <v>69.92</v>
      </c>
      <c r="IA50" s="2">
        <v>69.64</v>
      </c>
      <c r="IB50" s="2">
        <v>69.569999999999993</v>
      </c>
      <c r="IC50" s="2">
        <v>69.760000000000005</v>
      </c>
      <c r="ID50" s="2">
        <v>70.36</v>
      </c>
      <c r="IE50" s="2">
        <v>70.760000000000005</v>
      </c>
      <c r="IF50" s="2">
        <v>70.959999999999994</v>
      </c>
      <c r="IG50" s="2">
        <v>70.260000000000005</v>
      </c>
      <c r="IH50" s="2">
        <v>70.430000000000007</v>
      </c>
      <c r="II50" s="2">
        <v>70.61</v>
      </c>
      <c r="IJ50" s="2">
        <v>71.180000000000007</v>
      </c>
      <c r="IK50" s="2">
        <v>70.739999999999995</v>
      </c>
      <c r="IL50" s="2">
        <v>71.150000000000006</v>
      </c>
      <c r="IM50" s="2">
        <v>71.88</v>
      </c>
      <c r="IN50" s="2">
        <v>70.69</v>
      </c>
      <c r="IO50" s="2">
        <v>71.92</v>
      </c>
      <c r="IP50" s="2">
        <v>70.28</v>
      </c>
      <c r="IQ50" s="2">
        <v>70.22</v>
      </c>
      <c r="IR50" s="2">
        <v>69.930000000000007</v>
      </c>
    </row>
    <row r="51" spans="1:252" ht="23.25" customHeight="1" x14ac:dyDescent="0.3">
      <c r="A51" s="4" t="s">
        <v>298</v>
      </c>
      <c r="B51" s="4">
        <v>20</v>
      </c>
      <c r="C51" s="4" t="s">
        <v>344</v>
      </c>
      <c r="D51" s="3" t="s">
        <v>300</v>
      </c>
      <c r="E51" s="3" t="s">
        <v>301</v>
      </c>
      <c r="F51" s="2">
        <v>387.39</v>
      </c>
      <c r="G51" s="2">
        <v>391.71</v>
      </c>
      <c r="H51" s="2">
        <v>389.48</v>
      </c>
      <c r="I51" s="2">
        <v>386.59</v>
      </c>
      <c r="J51" s="2">
        <v>385.83</v>
      </c>
      <c r="K51" s="2">
        <v>385.91</v>
      </c>
      <c r="L51" s="2">
        <v>387.56</v>
      </c>
      <c r="M51" s="2">
        <v>387.58</v>
      </c>
      <c r="N51" s="2">
        <v>387.3</v>
      </c>
      <c r="O51" s="2">
        <v>386.74</v>
      </c>
      <c r="P51" s="2">
        <v>384.81</v>
      </c>
      <c r="Q51" s="2">
        <v>384.24</v>
      </c>
      <c r="R51" s="2">
        <v>385</v>
      </c>
      <c r="S51" s="2">
        <v>384.1</v>
      </c>
      <c r="T51" s="2">
        <v>383.83</v>
      </c>
      <c r="U51" s="2">
        <v>382.42</v>
      </c>
      <c r="V51" s="2">
        <v>381.11</v>
      </c>
      <c r="W51" s="2">
        <v>381.53</v>
      </c>
      <c r="X51" s="2">
        <v>381.78</v>
      </c>
      <c r="Y51" s="2">
        <v>383.85</v>
      </c>
      <c r="Z51" s="2">
        <v>388.95</v>
      </c>
      <c r="AA51" s="2">
        <v>389.19</v>
      </c>
      <c r="AB51" s="2">
        <v>388.19</v>
      </c>
      <c r="AC51" s="2">
        <v>384.32</v>
      </c>
      <c r="AD51" s="2">
        <v>385.51</v>
      </c>
      <c r="AE51" s="2">
        <v>386.92</v>
      </c>
      <c r="AF51" s="2">
        <v>388.74</v>
      </c>
      <c r="AG51" s="2">
        <v>387.14</v>
      </c>
      <c r="AH51" s="2">
        <v>387.11</v>
      </c>
      <c r="AI51" s="2">
        <v>387.89</v>
      </c>
      <c r="AJ51" s="2">
        <v>386.08</v>
      </c>
      <c r="AK51" s="2">
        <v>385.83</v>
      </c>
      <c r="AL51" s="2">
        <v>387.2</v>
      </c>
      <c r="AM51" s="2">
        <v>389.02</v>
      </c>
      <c r="AN51" s="2">
        <v>391.07</v>
      </c>
      <c r="AO51" s="2">
        <v>391.04</v>
      </c>
      <c r="AP51" s="2">
        <v>391.73</v>
      </c>
      <c r="AQ51" s="2">
        <v>390.62</v>
      </c>
      <c r="AR51" s="2">
        <v>391.05</v>
      </c>
      <c r="AS51" s="2">
        <v>390.97</v>
      </c>
      <c r="AT51" s="2">
        <v>392.05</v>
      </c>
      <c r="AU51" s="2">
        <v>392.31</v>
      </c>
      <c r="AV51" s="2">
        <v>391.25</v>
      </c>
      <c r="AW51" s="2">
        <v>391.03</v>
      </c>
      <c r="AX51" s="2">
        <v>383.54</v>
      </c>
      <c r="AY51" s="2">
        <v>390.41</v>
      </c>
      <c r="AZ51" s="2">
        <v>391.65</v>
      </c>
      <c r="BA51" s="2">
        <v>394.99</v>
      </c>
      <c r="BB51" s="2">
        <v>388.54</v>
      </c>
      <c r="BC51" s="2">
        <v>386.46</v>
      </c>
      <c r="BD51" s="2">
        <v>380.35</v>
      </c>
      <c r="BE51" s="2">
        <v>379.3</v>
      </c>
      <c r="BF51" s="2">
        <v>380.4</v>
      </c>
      <c r="BG51" s="2">
        <v>378.41</v>
      </c>
      <c r="BH51" s="2">
        <v>378.85</v>
      </c>
      <c r="BI51" s="2">
        <v>378.19</v>
      </c>
      <c r="BJ51" s="2">
        <v>379.26</v>
      </c>
      <c r="BK51" s="2">
        <v>380.33</v>
      </c>
      <c r="BL51" s="2">
        <v>381.27</v>
      </c>
      <c r="BM51" s="2">
        <v>382.42</v>
      </c>
      <c r="BN51" s="2">
        <v>383.68</v>
      </c>
      <c r="BO51" s="2">
        <v>383.51</v>
      </c>
      <c r="BP51" s="2">
        <v>380.47</v>
      </c>
      <c r="BQ51" s="2">
        <v>380.34</v>
      </c>
      <c r="BR51" s="2">
        <v>371.67</v>
      </c>
      <c r="BS51" s="2">
        <v>372.19</v>
      </c>
      <c r="BT51" s="2">
        <v>374.75</v>
      </c>
      <c r="BU51" s="2">
        <v>373.36</v>
      </c>
      <c r="BV51" s="2">
        <v>376.92</v>
      </c>
      <c r="BW51" s="2">
        <v>377.47</v>
      </c>
      <c r="BX51" s="2">
        <v>373.15</v>
      </c>
      <c r="BY51" s="2">
        <v>371.73</v>
      </c>
      <c r="BZ51" s="2">
        <v>372.73</v>
      </c>
      <c r="CA51" s="2">
        <v>371.31</v>
      </c>
      <c r="CB51" s="2">
        <v>369.83</v>
      </c>
      <c r="CC51" s="2">
        <v>367.48</v>
      </c>
      <c r="CD51" s="2">
        <v>367.11</v>
      </c>
      <c r="CE51" s="2">
        <v>363.93</v>
      </c>
      <c r="CF51" s="2">
        <v>364.79</v>
      </c>
      <c r="CG51" s="2">
        <v>366.47</v>
      </c>
      <c r="CH51" s="2">
        <v>368.2</v>
      </c>
      <c r="CI51" s="2">
        <v>366.77</v>
      </c>
      <c r="CJ51" s="2">
        <v>367.1</v>
      </c>
      <c r="CK51" s="2">
        <v>366.26</v>
      </c>
      <c r="CL51" s="2">
        <v>362.35</v>
      </c>
      <c r="CM51" s="2">
        <v>362.33</v>
      </c>
      <c r="CN51" s="2">
        <v>362.59</v>
      </c>
      <c r="CO51" s="2">
        <v>364.95</v>
      </c>
      <c r="CP51" s="2">
        <v>363.29</v>
      </c>
      <c r="CQ51" s="2">
        <v>364.14</v>
      </c>
      <c r="CR51" s="2">
        <v>363.45</v>
      </c>
      <c r="CS51" s="2">
        <v>362.94</v>
      </c>
      <c r="CT51" s="2">
        <v>366</v>
      </c>
      <c r="CU51" s="2">
        <v>367.66</v>
      </c>
      <c r="CV51" s="2">
        <v>364.92</v>
      </c>
      <c r="CW51" s="2">
        <v>368.31</v>
      </c>
      <c r="CX51" s="2">
        <v>363.87</v>
      </c>
      <c r="CY51" s="2">
        <v>362.86</v>
      </c>
      <c r="CZ51" s="2">
        <v>361.98</v>
      </c>
      <c r="DA51" s="2">
        <v>361.66</v>
      </c>
      <c r="DB51" s="2">
        <v>360.91</v>
      </c>
      <c r="DC51" s="2">
        <v>360.66</v>
      </c>
      <c r="DD51" s="2">
        <v>362.49</v>
      </c>
      <c r="DE51" s="2">
        <v>362.13</v>
      </c>
      <c r="DF51" s="2">
        <v>363.74</v>
      </c>
      <c r="DG51" s="2">
        <v>364.4</v>
      </c>
      <c r="DH51" s="2">
        <v>364.75</v>
      </c>
      <c r="DI51" s="2">
        <v>366.29</v>
      </c>
      <c r="DJ51" s="2">
        <v>366.07</v>
      </c>
      <c r="DK51" s="2">
        <v>366.54</v>
      </c>
      <c r="DL51" s="2">
        <v>367.56</v>
      </c>
      <c r="DM51" s="2">
        <v>368.67</v>
      </c>
      <c r="DN51" s="2">
        <v>369.8</v>
      </c>
      <c r="DO51" s="2">
        <v>370.78</v>
      </c>
      <c r="DP51" s="2">
        <v>371.07</v>
      </c>
      <c r="DQ51" s="2">
        <v>370.83</v>
      </c>
      <c r="DR51" s="2">
        <v>369.54</v>
      </c>
      <c r="DS51" s="2">
        <v>367.59</v>
      </c>
      <c r="DT51" s="2">
        <v>364.84</v>
      </c>
      <c r="DU51" s="2">
        <v>366.79</v>
      </c>
      <c r="DV51" s="2">
        <v>367.76</v>
      </c>
      <c r="DW51" s="2">
        <v>370.96</v>
      </c>
      <c r="DX51" s="2">
        <v>368.66</v>
      </c>
      <c r="DY51" s="2">
        <v>370.66</v>
      </c>
      <c r="DZ51" s="2">
        <v>373.02</v>
      </c>
      <c r="EA51" s="2">
        <v>369.11</v>
      </c>
      <c r="EB51" s="2">
        <v>369.56</v>
      </c>
      <c r="EC51" s="2">
        <v>370.31</v>
      </c>
      <c r="ED51" s="2">
        <v>368.84</v>
      </c>
      <c r="EE51" s="2">
        <v>369.29</v>
      </c>
      <c r="EF51" s="2">
        <v>369.93</v>
      </c>
      <c r="EG51" s="2">
        <v>370.45</v>
      </c>
      <c r="EH51" s="2">
        <v>368.82</v>
      </c>
      <c r="EI51" s="2">
        <v>368.35</v>
      </c>
      <c r="EJ51" s="2">
        <v>369.19</v>
      </c>
      <c r="EK51" s="2">
        <v>370.25</v>
      </c>
      <c r="EL51" s="2">
        <v>372.4</v>
      </c>
      <c r="EM51" s="2">
        <v>372.55</v>
      </c>
      <c r="EN51" s="2">
        <v>371.94</v>
      </c>
      <c r="EO51" s="2">
        <v>369.48</v>
      </c>
      <c r="EP51" s="2">
        <v>370.78</v>
      </c>
      <c r="EQ51" s="2">
        <v>371.95</v>
      </c>
      <c r="ER51" s="2">
        <v>370.07</v>
      </c>
      <c r="ES51" s="2">
        <v>369.82</v>
      </c>
      <c r="ET51" s="2">
        <v>371.05</v>
      </c>
      <c r="EU51" s="2">
        <v>371.04</v>
      </c>
      <c r="EV51" s="2">
        <v>371.46</v>
      </c>
      <c r="EW51" s="2">
        <v>371.14</v>
      </c>
      <c r="EX51" s="2">
        <v>370.94</v>
      </c>
      <c r="EY51" s="2">
        <v>370.6</v>
      </c>
      <c r="EZ51" s="2">
        <v>369.48</v>
      </c>
      <c r="FA51" s="2">
        <v>369.86</v>
      </c>
      <c r="FB51" s="2">
        <v>370.35</v>
      </c>
      <c r="FC51" s="2">
        <v>370.15</v>
      </c>
      <c r="FD51" s="2">
        <v>370.43</v>
      </c>
      <c r="FE51" s="2">
        <v>368.53</v>
      </c>
      <c r="FF51" s="2">
        <v>367.83</v>
      </c>
      <c r="FG51" s="2">
        <v>369.19</v>
      </c>
      <c r="FH51" s="2">
        <v>371.58</v>
      </c>
      <c r="FI51" s="2">
        <v>371.69</v>
      </c>
      <c r="FJ51" s="2">
        <v>371.6</v>
      </c>
      <c r="FK51" s="2">
        <v>371.89</v>
      </c>
      <c r="FL51" s="2">
        <v>373.38</v>
      </c>
      <c r="FM51" s="2">
        <v>376.38</v>
      </c>
      <c r="FN51" s="2">
        <v>373.88</v>
      </c>
      <c r="FO51" s="2">
        <v>374.17</v>
      </c>
      <c r="FP51" s="2">
        <v>374.9</v>
      </c>
      <c r="FQ51" s="2">
        <v>373.76</v>
      </c>
      <c r="FR51" s="2">
        <v>378.71</v>
      </c>
      <c r="FS51" s="2">
        <v>380.69</v>
      </c>
      <c r="FT51" s="2">
        <v>380.89</v>
      </c>
      <c r="FU51" s="2">
        <v>379.8</v>
      </c>
      <c r="FV51" s="2">
        <v>378.38</v>
      </c>
      <c r="FW51" s="2">
        <v>378.49</v>
      </c>
      <c r="FX51" s="2">
        <v>378.68</v>
      </c>
      <c r="FY51" s="2">
        <v>379.61</v>
      </c>
      <c r="FZ51" s="2">
        <v>381.32</v>
      </c>
      <c r="GA51" s="2">
        <v>383.05</v>
      </c>
      <c r="GB51" s="2">
        <v>382.91</v>
      </c>
      <c r="GC51" s="2">
        <v>381.99</v>
      </c>
      <c r="GD51" s="2">
        <v>382.47</v>
      </c>
      <c r="GE51" s="2">
        <v>382.11</v>
      </c>
      <c r="GF51" s="2">
        <v>379.5</v>
      </c>
      <c r="GG51" s="2">
        <v>380.61</v>
      </c>
      <c r="GH51" s="2">
        <v>381.03</v>
      </c>
      <c r="GI51" s="2">
        <v>383.36</v>
      </c>
      <c r="GJ51" s="2">
        <v>385.82</v>
      </c>
      <c r="GK51" s="2">
        <v>385.46</v>
      </c>
      <c r="GL51" s="2">
        <v>387.7</v>
      </c>
      <c r="GM51" s="2">
        <v>387.6</v>
      </c>
      <c r="GN51" s="2">
        <v>390.13</v>
      </c>
      <c r="GO51" s="2">
        <v>391</v>
      </c>
      <c r="GP51" s="2">
        <v>391.87</v>
      </c>
      <c r="GQ51" s="2">
        <v>388.94</v>
      </c>
      <c r="GR51" s="2">
        <v>388.86</v>
      </c>
      <c r="GS51" s="2">
        <v>390.71</v>
      </c>
      <c r="GT51" s="2">
        <v>390.64</v>
      </c>
      <c r="GU51" s="2">
        <v>391.53</v>
      </c>
      <c r="GV51" s="2">
        <v>392.49</v>
      </c>
      <c r="GW51" s="2">
        <v>392.87</v>
      </c>
      <c r="GX51" s="2">
        <v>392.86</v>
      </c>
      <c r="GY51" s="2">
        <v>389.98</v>
      </c>
      <c r="GZ51" s="2">
        <v>390.47</v>
      </c>
      <c r="HA51" s="2">
        <v>390.76</v>
      </c>
      <c r="HB51" s="2">
        <v>391.46</v>
      </c>
      <c r="HC51" s="2">
        <v>391.49</v>
      </c>
      <c r="HD51" s="2">
        <v>391.36</v>
      </c>
      <c r="HE51" s="2">
        <v>392.11</v>
      </c>
      <c r="HF51" s="2">
        <v>392.21</v>
      </c>
      <c r="HG51" s="2">
        <v>391.39</v>
      </c>
      <c r="HH51" s="2">
        <v>391.83</v>
      </c>
      <c r="HI51" s="2">
        <v>391.82</v>
      </c>
      <c r="HJ51" s="2">
        <v>391.59</v>
      </c>
      <c r="HK51" s="2">
        <v>392.39</v>
      </c>
      <c r="HL51" s="2">
        <v>392.87</v>
      </c>
      <c r="HM51" s="2">
        <v>392.59</v>
      </c>
      <c r="HN51" s="2">
        <v>394.2</v>
      </c>
      <c r="HO51" s="2">
        <v>393.83</v>
      </c>
      <c r="HP51" s="2">
        <v>394.02</v>
      </c>
      <c r="HQ51" s="2">
        <v>394.34</v>
      </c>
      <c r="HR51" s="2">
        <v>395.5</v>
      </c>
      <c r="HS51" s="2">
        <v>389.43</v>
      </c>
      <c r="HT51" s="2">
        <v>384.55</v>
      </c>
      <c r="HU51" s="2">
        <v>382.3</v>
      </c>
      <c r="HV51" s="2">
        <v>382.56</v>
      </c>
      <c r="HW51" s="2">
        <v>382.62</v>
      </c>
      <c r="HX51" s="2">
        <v>384.51</v>
      </c>
      <c r="HY51" s="2">
        <v>385.76</v>
      </c>
      <c r="HZ51" s="2">
        <v>385.49</v>
      </c>
      <c r="IA51" s="2">
        <v>386.2</v>
      </c>
      <c r="IB51" s="2">
        <v>386.51</v>
      </c>
      <c r="IC51" s="2">
        <v>388.17</v>
      </c>
      <c r="ID51" s="2">
        <v>390.42</v>
      </c>
      <c r="IE51" s="2">
        <v>392.73</v>
      </c>
      <c r="IF51" s="2">
        <v>393.97</v>
      </c>
      <c r="IG51" s="2">
        <v>391.91</v>
      </c>
      <c r="IH51" s="2">
        <v>392.93</v>
      </c>
      <c r="II51" s="2">
        <v>392.96</v>
      </c>
      <c r="IJ51" s="2">
        <v>393.87</v>
      </c>
      <c r="IK51" s="2">
        <v>392.75</v>
      </c>
      <c r="IL51" s="2">
        <v>391.57</v>
      </c>
      <c r="IM51" s="2">
        <v>391.27</v>
      </c>
      <c r="IN51" s="2">
        <v>384.76</v>
      </c>
      <c r="IO51" s="2">
        <v>386.36</v>
      </c>
      <c r="IP51" s="2">
        <v>380.93</v>
      </c>
      <c r="IQ51" s="2">
        <v>380.48</v>
      </c>
      <c r="IR51" s="2">
        <v>383.05</v>
      </c>
    </row>
    <row r="52" spans="1:252" ht="23.25" customHeight="1" x14ac:dyDescent="0.3">
      <c r="A52" s="4" t="s">
        <v>298</v>
      </c>
      <c r="B52" s="4">
        <v>47</v>
      </c>
      <c r="C52" s="4" t="s">
        <v>345</v>
      </c>
      <c r="D52" s="3" t="s">
        <v>300</v>
      </c>
      <c r="E52" s="3" t="s">
        <v>301</v>
      </c>
      <c r="F52" s="2">
        <v>398.54</v>
      </c>
      <c r="G52" s="2">
        <v>402.98</v>
      </c>
      <c r="H52" s="2">
        <v>400.68</v>
      </c>
      <c r="I52" s="2">
        <v>397.72</v>
      </c>
      <c r="J52" s="2">
        <v>396.92</v>
      </c>
      <c r="K52" s="2">
        <v>397</v>
      </c>
      <c r="L52" s="2">
        <v>398.72</v>
      </c>
      <c r="M52" s="2">
        <v>398.68</v>
      </c>
      <c r="N52" s="2">
        <v>398.43</v>
      </c>
      <c r="O52" s="2">
        <v>397.86</v>
      </c>
      <c r="P52" s="2">
        <v>395.88</v>
      </c>
      <c r="Q52" s="2">
        <v>395.36</v>
      </c>
      <c r="R52" s="2">
        <v>396.13</v>
      </c>
      <c r="S52" s="2">
        <v>395.2</v>
      </c>
      <c r="T52" s="2">
        <v>394.88</v>
      </c>
      <c r="U52" s="2">
        <v>393.42</v>
      </c>
      <c r="V52" s="2">
        <v>392.1</v>
      </c>
      <c r="W52" s="2">
        <v>392.48</v>
      </c>
      <c r="X52" s="2">
        <v>392.79</v>
      </c>
      <c r="Y52" s="2">
        <v>395.01</v>
      </c>
      <c r="Z52" s="2">
        <v>400.25</v>
      </c>
      <c r="AA52" s="2">
        <v>400.47</v>
      </c>
      <c r="AB52" s="2">
        <v>399.48</v>
      </c>
      <c r="AC52" s="2">
        <v>395.53</v>
      </c>
      <c r="AD52" s="2">
        <v>396.82</v>
      </c>
      <c r="AE52" s="2">
        <v>398.24</v>
      </c>
      <c r="AF52" s="2">
        <v>399.97</v>
      </c>
      <c r="AG52" s="2">
        <v>398.38</v>
      </c>
      <c r="AH52" s="2">
        <v>398.35</v>
      </c>
      <c r="AI52" s="2">
        <v>399.1</v>
      </c>
      <c r="AJ52" s="2">
        <v>397.28</v>
      </c>
      <c r="AK52" s="2">
        <v>396.98</v>
      </c>
      <c r="AL52" s="2">
        <v>398.41</v>
      </c>
      <c r="AM52" s="2">
        <v>400.3</v>
      </c>
      <c r="AN52" s="2">
        <v>402.41</v>
      </c>
      <c r="AO52" s="2">
        <v>402.41</v>
      </c>
      <c r="AP52" s="2">
        <v>403.15</v>
      </c>
      <c r="AQ52" s="2">
        <v>401.98</v>
      </c>
      <c r="AR52" s="2">
        <v>402.39</v>
      </c>
      <c r="AS52" s="2">
        <v>402.3</v>
      </c>
      <c r="AT52" s="2">
        <v>402.63</v>
      </c>
      <c r="AU52" s="2">
        <v>403.73</v>
      </c>
      <c r="AV52" s="2">
        <v>402.66</v>
      </c>
      <c r="AW52" s="2">
        <v>402.44</v>
      </c>
      <c r="AX52" s="2">
        <v>394.84</v>
      </c>
      <c r="AY52" s="2">
        <v>402.1</v>
      </c>
      <c r="AZ52" s="2">
        <v>403.35</v>
      </c>
      <c r="BA52" s="2">
        <v>406.79</v>
      </c>
      <c r="BB52" s="2">
        <v>400.11</v>
      </c>
      <c r="BC52" s="2">
        <v>398</v>
      </c>
      <c r="BD52" s="2">
        <v>391.57</v>
      </c>
      <c r="BE52" s="2">
        <v>390.44</v>
      </c>
      <c r="BF52" s="2">
        <v>391.25</v>
      </c>
      <c r="BG52" s="2">
        <v>389.55</v>
      </c>
      <c r="BH52" s="2">
        <v>389.99</v>
      </c>
      <c r="BI52" s="2">
        <v>388.9</v>
      </c>
      <c r="BJ52" s="2">
        <v>390.25</v>
      </c>
      <c r="BK52" s="2">
        <v>391.35</v>
      </c>
      <c r="BL52" s="2">
        <v>392.39</v>
      </c>
      <c r="BM52" s="2">
        <v>393.6</v>
      </c>
      <c r="BN52" s="2">
        <v>394.61</v>
      </c>
      <c r="BO52" s="2">
        <v>394.61</v>
      </c>
      <c r="BP52" s="2">
        <v>391.47</v>
      </c>
      <c r="BQ52" s="2">
        <v>391.37</v>
      </c>
      <c r="BR52" s="2">
        <v>382.45</v>
      </c>
      <c r="BS52" s="2">
        <v>382.75</v>
      </c>
      <c r="BT52" s="2">
        <v>385.63</v>
      </c>
      <c r="BU52" s="2">
        <v>384.18</v>
      </c>
      <c r="BV52" s="2">
        <v>387.86</v>
      </c>
      <c r="BW52" s="2">
        <v>388.43</v>
      </c>
      <c r="BX52" s="2">
        <v>383.93</v>
      </c>
      <c r="BY52" s="2">
        <v>382.54</v>
      </c>
      <c r="BZ52" s="2">
        <v>383.58</v>
      </c>
      <c r="CA52" s="2">
        <v>382.01</v>
      </c>
      <c r="CB52" s="2">
        <v>380.6</v>
      </c>
      <c r="CC52" s="2">
        <v>378.23</v>
      </c>
      <c r="CD52" s="2">
        <v>377.79</v>
      </c>
      <c r="CE52" s="2">
        <v>374.53</v>
      </c>
      <c r="CF52" s="2">
        <v>375.49</v>
      </c>
      <c r="CG52" s="2">
        <v>377.21</v>
      </c>
      <c r="CH52" s="2">
        <v>379.04</v>
      </c>
      <c r="CI52" s="2">
        <v>377.49</v>
      </c>
      <c r="CJ52" s="2">
        <v>377.76</v>
      </c>
      <c r="CK52" s="2">
        <v>377.02</v>
      </c>
      <c r="CL52" s="2">
        <v>372.94</v>
      </c>
      <c r="CM52" s="2">
        <v>372.93</v>
      </c>
      <c r="CN52" s="2">
        <v>373.14</v>
      </c>
      <c r="CO52" s="2">
        <v>375.61</v>
      </c>
      <c r="CP52" s="2">
        <v>373.92</v>
      </c>
      <c r="CQ52" s="2">
        <v>375</v>
      </c>
      <c r="CR52" s="2">
        <v>374.02</v>
      </c>
      <c r="CS52" s="2">
        <v>373.52</v>
      </c>
      <c r="CT52" s="2">
        <v>376.72</v>
      </c>
      <c r="CU52" s="2">
        <v>378.47</v>
      </c>
      <c r="CV52" s="2">
        <v>375.64</v>
      </c>
      <c r="CW52" s="2">
        <v>379.09</v>
      </c>
      <c r="CX52" s="2">
        <v>374.49</v>
      </c>
      <c r="CY52" s="2">
        <v>373.36</v>
      </c>
      <c r="CZ52" s="2">
        <v>372.38</v>
      </c>
      <c r="DA52" s="2">
        <v>372.14</v>
      </c>
      <c r="DB52" s="2">
        <v>371.41</v>
      </c>
      <c r="DC52" s="2">
        <v>371.1</v>
      </c>
      <c r="DD52" s="2">
        <v>372.98</v>
      </c>
      <c r="DE52" s="2">
        <v>372.62</v>
      </c>
      <c r="DF52" s="2">
        <v>374.3</v>
      </c>
      <c r="DG52" s="2">
        <v>374.98</v>
      </c>
      <c r="DH52" s="2">
        <v>375.27</v>
      </c>
      <c r="DI52" s="2">
        <v>376.92</v>
      </c>
      <c r="DJ52" s="2">
        <v>375.65</v>
      </c>
      <c r="DK52" s="2">
        <v>377.19</v>
      </c>
      <c r="DL52" s="2">
        <v>378.15</v>
      </c>
      <c r="DM52" s="2">
        <v>379.39</v>
      </c>
      <c r="DN52" s="2">
        <v>380.49</v>
      </c>
      <c r="DO52" s="2">
        <v>381.55</v>
      </c>
      <c r="DP52" s="2">
        <v>381.87</v>
      </c>
      <c r="DQ52" s="2">
        <v>381.64</v>
      </c>
      <c r="DR52" s="2">
        <v>380.26</v>
      </c>
      <c r="DS52" s="2">
        <v>378.32</v>
      </c>
      <c r="DT52" s="2">
        <v>375.48</v>
      </c>
      <c r="DU52" s="2">
        <v>377.48</v>
      </c>
      <c r="DV52" s="2">
        <v>378.47</v>
      </c>
      <c r="DW52" s="2">
        <v>381.71</v>
      </c>
      <c r="DX52" s="2">
        <v>379.39</v>
      </c>
      <c r="DY52" s="2">
        <v>381.44</v>
      </c>
      <c r="DZ52" s="2">
        <v>383.87</v>
      </c>
      <c r="EA52" s="2">
        <v>379.96</v>
      </c>
      <c r="EB52" s="2">
        <v>380.44</v>
      </c>
      <c r="EC52" s="2">
        <v>381.21</v>
      </c>
      <c r="ED52" s="2">
        <v>379.76</v>
      </c>
      <c r="EE52" s="2">
        <v>380.27</v>
      </c>
      <c r="EF52" s="2">
        <v>380.9</v>
      </c>
      <c r="EG52" s="2">
        <v>381.42</v>
      </c>
      <c r="EH52" s="2">
        <v>379.69</v>
      </c>
      <c r="EI52" s="2">
        <v>379.25</v>
      </c>
      <c r="EJ52" s="2">
        <v>380.11</v>
      </c>
      <c r="EK52" s="2">
        <v>381.21</v>
      </c>
      <c r="EL52" s="2">
        <v>383.42</v>
      </c>
      <c r="EM52" s="2">
        <v>383.05</v>
      </c>
      <c r="EN52" s="2">
        <v>382.91</v>
      </c>
      <c r="EO52" s="2">
        <v>379.31</v>
      </c>
      <c r="EP52" s="2">
        <v>381.63</v>
      </c>
      <c r="EQ52" s="2">
        <v>382.87</v>
      </c>
      <c r="ER52" s="2">
        <v>380.41</v>
      </c>
      <c r="ES52" s="2">
        <v>379.67</v>
      </c>
      <c r="ET52" s="2">
        <v>381.97</v>
      </c>
      <c r="EU52" s="2">
        <v>381.93</v>
      </c>
      <c r="EV52" s="2">
        <v>381.86</v>
      </c>
      <c r="EW52" s="2">
        <v>382.1</v>
      </c>
      <c r="EX52" s="2">
        <v>381.86</v>
      </c>
      <c r="EY52" s="2">
        <v>380.96</v>
      </c>
      <c r="EZ52" s="2">
        <v>380.37</v>
      </c>
      <c r="FA52" s="2">
        <v>380.68</v>
      </c>
      <c r="FB52" s="2">
        <v>381.15</v>
      </c>
      <c r="FC52" s="2">
        <v>380.96</v>
      </c>
      <c r="FD52" s="2">
        <v>381.18</v>
      </c>
      <c r="FE52" s="2">
        <v>379.21</v>
      </c>
      <c r="FF52" s="2">
        <v>378.6</v>
      </c>
      <c r="FG52" s="2">
        <v>379.84</v>
      </c>
      <c r="FH52" s="2">
        <v>382.35</v>
      </c>
      <c r="FI52" s="2">
        <v>382.47</v>
      </c>
      <c r="FJ52" s="2">
        <v>382.42</v>
      </c>
      <c r="FK52" s="2">
        <v>382.64</v>
      </c>
      <c r="FL52" s="2">
        <v>384.23</v>
      </c>
      <c r="FM52" s="2">
        <v>387.3</v>
      </c>
      <c r="FN52" s="2">
        <v>384.71</v>
      </c>
      <c r="FO52" s="2">
        <v>384.97</v>
      </c>
      <c r="FP52" s="2">
        <v>385.76</v>
      </c>
      <c r="FQ52" s="2">
        <v>384.62</v>
      </c>
      <c r="FR52" s="2">
        <v>389.71</v>
      </c>
      <c r="FS52" s="2">
        <v>391.68</v>
      </c>
      <c r="FT52" s="2">
        <v>391.33</v>
      </c>
      <c r="FU52" s="2">
        <v>390.78</v>
      </c>
      <c r="FV52" s="2">
        <v>388.8</v>
      </c>
      <c r="FW52" s="2">
        <v>389.43</v>
      </c>
      <c r="FX52" s="2">
        <v>389.62</v>
      </c>
      <c r="FY52" s="2">
        <v>390.58</v>
      </c>
      <c r="FZ52" s="2">
        <v>392.35</v>
      </c>
      <c r="GA52" s="2">
        <v>394.14</v>
      </c>
      <c r="GB52" s="2">
        <v>394.01</v>
      </c>
      <c r="GC52" s="2">
        <v>393.01</v>
      </c>
      <c r="GD52" s="2">
        <v>393.51</v>
      </c>
      <c r="GE52" s="2">
        <v>393.15</v>
      </c>
      <c r="GF52" s="2">
        <v>390.44</v>
      </c>
      <c r="GG52" s="2">
        <v>391.6</v>
      </c>
      <c r="GH52" s="2">
        <v>392.04</v>
      </c>
      <c r="GI52" s="2">
        <v>394.44</v>
      </c>
      <c r="GJ52" s="2">
        <v>397.01</v>
      </c>
      <c r="GK52" s="2">
        <v>396.63</v>
      </c>
      <c r="GL52" s="2">
        <v>398.9</v>
      </c>
      <c r="GM52" s="2">
        <v>399</v>
      </c>
      <c r="GN52" s="2">
        <v>401.43</v>
      </c>
      <c r="GO52" s="2">
        <v>402.3</v>
      </c>
      <c r="GP52" s="2">
        <v>403.33</v>
      </c>
      <c r="GQ52" s="2">
        <v>400.14</v>
      </c>
      <c r="GR52" s="2">
        <v>400.05</v>
      </c>
      <c r="GS52" s="2">
        <v>402.12</v>
      </c>
      <c r="GT52" s="2">
        <v>401.92</v>
      </c>
      <c r="GU52" s="2">
        <v>402.85</v>
      </c>
      <c r="GV52" s="2">
        <v>403.92</v>
      </c>
      <c r="GW52" s="2">
        <v>404.51</v>
      </c>
      <c r="GX52" s="2">
        <v>404.34</v>
      </c>
      <c r="GY52" s="2">
        <v>401.34</v>
      </c>
      <c r="GZ52" s="2">
        <v>401.96</v>
      </c>
      <c r="HA52" s="2">
        <v>402.28</v>
      </c>
      <c r="HB52" s="2">
        <v>403.14</v>
      </c>
      <c r="HC52" s="2">
        <v>403.28</v>
      </c>
      <c r="HD52" s="2">
        <v>403.04</v>
      </c>
      <c r="HE52" s="2">
        <v>403.8</v>
      </c>
      <c r="HF52" s="2">
        <v>403.97</v>
      </c>
      <c r="HG52" s="2">
        <v>403.29</v>
      </c>
      <c r="HH52" s="2">
        <v>403.4</v>
      </c>
      <c r="HI52" s="2">
        <v>403.68</v>
      </c>
      <c r="HJ52" s="2">
        <v>403.16</v>
      </c>
      <c r="HK52" s="2">
        <v>403.98</v>
      </c>
      <c r="HL52" s="2">
        <v>404.52</v>
      </c>
      <c r="HM52" s="2">
        <v>402.85</v>
      </c>
      <c r="HN52" s="2">
        <v>404.54</v>
      </c>
      <c r="HO52" s="2">
        <v>405.37</v>
      </c>
      <c r="HP52" s="2">
        <v>404.32</v>
      </c>
      <c r="HQ52" s="2">
        <v>406.01</v>
      </c>
      <c r="HR52" s="2">
        <v>406.95</v>
      </c>
      <c r="HS52" s="2">
        <v>400.63</v>
      </c>
      <c r="HT52" s="2">
        <v>394.61</v>
      </c>
      <c r="HU52" s="2">
        <v>393.37</v>
      </c>
      <c r="HV52" s="2">
        <v>393.65</v>
      </c>
      <c r="HW52" s="2">
        <v>392.59</v>
      </c>
      <c r="HX52" s="2">
        <v>394.56</v>
      </c>
      <c r="HY52" s="2">
        <v>396.93</v>
      </c>
      <c r="HZ52" s="2">
        <v>395.54</v>
      </c>
      <c r="IA52" s="2">
        <v>397.32</v>
      </c>
      <c r="IB52" s="2">
        <v>397.77</v>
      </c>
      <c r="IC52" s="2">
        <v>398.28</v>
      </c>
      <c r="ID52" s="2">
        <v>400.57</v>
      </c>
      <c r="IE52" s="2">
        <v>402.95</v>
      </c>
      <c r="IF52" s="2">
        <v>405.35</v>
      </c>
      <c r="IG52" s="2">
        <v>403.49</v>
      </c>
      <c r="IH52" s="2">
        <v>404.25</v>
      </c>
      <c r="II52" s="2">
        <v>404.31</v>
      </c>
      <c r="IJ52" s="2">
        <v>405.24</v>
      </c>
      <c r="IK52" s="2">
        <v>402.95</v>
      </c>
      <c r="IL52" s="2">
        <v>402.91</v>
      </c>
      <c r="IM52" s="2">
        <v>402.58</v>
      </c>
      <c r="IN52" s="2">
        <v>395.88</v>
      </c>
      <c r="IO52" s="2">
        <v>397.53</v>
      </c>
      <c r="IP52" s="2">
        <v>391.99</v>
      </c>
      <c r="IQ52" s="2">
        <v>391.55</v>
      </c>
      <c r="IR52" s="2">
        <v>394.21</v>
      </c>
    </row>
    <row r="53" spans="1:252" ht="23.25" customHeight="1" x14ac:dyDescent="0.3">
      <c r="A53" s="4" t="s">
        <v>298</v>
      </c>
      <c r="B53" s="4">
        <v>48</v>
      </c>
      <c r="C53" s="4" t="s">
        <v>346</v>
      </c>
      <c r="D53" s="3" t="s">
        <v>300</v>
      </c>
      <c r="E53" s="3" t="s">
        <v>301</v>
      </c>
      <c r="F53" s="2">
        <v>404.93</v>
      </c>
      <c r="G53" s="2">
        <v>410.33</v>
      </c>
      <c r="H53" s="2">
        <v>409.4</v>
      </c>
      <c r="I53" s="2">
        <v>409.3</v>
      </c>
      <c r="J53" s="2">
        <v>407.33</v>
      </c>
      <c r="K53" s="2">
        <v>406.47</v>
      </c>
      <c r="L53" s="2">
        <v>406.56</v>
      </c>
      <c r="M53" s="2">
        <v>404.81</v>
      </c>
      <c r="N53" s="2">
        <v>405.41</v>
      </c>
      <c r="O53" s="2">
        <v>406.79</v>
      </c>
      <c r="P53" s="2">
        <v>406.86</v>
      </c>
      <c r="Q53" s="2">
        <v>404.89</v>
      </c>
      <c r="R53" s="2">
        <v>406.51</v>
      </c>
      <c r="S53" s="2">
        <v>406.46</v>
      </c>
      <c r="T53" s="2">
        <v>405.64</v>
      </c>
      <c r="U53" s="2">
        <v>401.71</v>
      </c>
      <c r="V53" s="2">
        <v>399.77</v>
      </c>
      <c r="W53" s="2">
        <v>399.4</v>
      </c>
      <c r="X53" s="2">
        <v>402.42</v>
      </c>
      <c r="Y53" s="2">
        <v>402.43</v>
      </c>
      <c r="Z53" s="2">
        <v>405</v>
      </c>
      <c r="AA53" s="2">
        <v>401.89</v>
      </c>
      <c r="AB53" s="2">
        <v>403.16</v>
      </c>
      <c r="AC53" s="2">
        <v>398.9</v>
      </c>
      <c r="AD53" s="2">
        <v>398.48</v>
      </c>
      <c r="AE53" s="2">
        <v>398.41</v>
      </c>
      <c r="AF53" s="2">
        <v>399.1</v>
      </c>
      <c r="AG53" s="2">
        <v>398.71</v>
      </c>
      <c r="AH53" s="2">
        <v>396.19</v>
      </c>
      <c r="AI53" s="2">
        <v>398.26</v>
      </c>
      <c r="AJ53" s="2">
        <v>397.23</v>
      </c>
      <c r="AK53" s="2">
        <v>394.55</v>
      </c>
      <c r="AL53" s="2">
        <v>396.71</v>
      </c>
      <c r="AM53" s="2">
        <v>396.72</v>
      </c>
      <c r="AN53" s="2">
        <v>393.77</v>
      </c>
      <c r="AO53" s="2">
        <v>398.74</v>
      </c>
      <c r="AP53" s="2">
        <v>400.8</v>
      </c>
      <c r="AQ53" s="2">
        <v>396.38</v>
      </c>
      <c r="AR53" s="2">
        <v>399.48</v>
      </c>
      <c r="AS53" s="2">
        <v>396.8</v>
      </c>
      <c r="AT53" s="2">
        <v>394.78</v>
      </c>
      <c r="AU53" s="2">
        <v>398.73</v>
      </c>
      <c r="AV53" s="2">
        <v>395.26</v>
      </c>
      <c r="AW53" s="2">
        <v>396.66</v>
      </c>
      <c r="AX53" s="2">
        <v>384.33</v>
      </c>
      <c r="AY53" s="2">
        <v>387.99</v>
      </c>
      <c r="AZ53" s="2">
        <v>388.99</v>
      </c>
      <c r="BA53" s="2">
        <v>395.89</v>
      </c>
      <c r="BB53" s="2">
        <v>388.1</v>
      </c>
      <c r="BC53" s="2">
        <v>390.12</v>
      </c>
      <c r="BD53" s="2">
        <v>387.76</v>
      </c>
      <c r="BE53" s="2">
        <v>386.41</v>
      </c>
      <c r="BF53" s="2">
        <v>387.17</v>
      </c>
      <c r="BG53" s="2">
        <v>385.41</v>
      </c>
      <c r="BH53" s="2">
        <v>385.6</v>
      </c>
      <c r="BI53" s="2">
        <v>382.02</v>
      </c>
      <c r="BJ53" s="2">
        <v>385.49</v>
      </c>
      <c r="BK53" s="2">
        <v>391.22</v>
      </c>
      <c r="BL53" s="2">
        <v>394.6</v>
      </c>
      <c r="BM53" s="2">
        <v>395.68</v>
      </c>
      <c r="BN53" s="2">
        <v>397.88</v>
      </c>
      <c r="BO53" s="2">
        <v>397.1</v>
      </c>
      <c r="BP53" s="2">
        <v>394.42</v>
      </c>
      <c r="BQ53" s="2">
        <v>395.84</v>
      </c>
      <c r="BR53" s="2">
        <v>389.05</v>
      </c>
      <c r="BS53" s="2">
        <v>390.75</v>
      </c>
      <c r="BT53" s="2">
        <v>395.67</v>
      </c>
      <c r="BU53" s="2">
        <v>392.69</v>
      </c>
      <c r="BV53" s="2">
        <v>397.53</v>
      </c>
      <c r="BW53" s="2">
        <v>398.79</v>
      </c>
      <c r="BX53" s="2">
        <v>393.69</v>
      </c>
      <c r="BY53" s="2">
        <v>392.31</v>
      </c>
      <c r="BZ53" s="2">
        <v>396.49</v>
      </c>
      <c r="CA53" s="2">
        <v>393.48</v>
      </c>
      <c r="CB53" s="2">
        <v>389.66</v>
      </c>
      <c r="CC53" s="2">
        <v>383.25</v>
      </c>
      <c r="CD53" s="2">
        <v>381.97</v>
      </c>
      <c r="CE53" s="2">
        <v>383.76</v>
      </c>
      <c r="CF53" s="2">
        <v>386.98</v>
      </c>
      <c r="CG53" s="2">
        <v>391.35</v>
      </c>
      <c r="CH53" s="2">
        <v>394.29</v>
      </c>
      <c r="CI53" s="2">
        <v>391.55</v>
      </c>
      <c r="CJ53" s="2">
        <v>391.39</v>
      </c>
      <c r="CK53" s="2">
        <v>393.88</v>
      </c>
      <c r="CL53" s="2">
        <v>388.14</v>
      </c>
      <c r="CM53" s="2">
        <v>389.39</v>
      </c>
      <c r="CN53" s="2">
        <v>389.18</v>
      </c>
      <c r="CO53" s="2">
        <v>387.03</v>
      </c>
      <c r="CP53" s="2">
        <v>383.89</v>
      </c>
      <c r="CQ53" s="2">
        <v>377.34</v>
      </c>
      <c r="CR53" s="2">
        <v>389.5</v>
      </c>
      <c r="CS53" s="2">
        <v>388.18</v>
      </c>
      <c r="CT53" s="2">
        <v>393.81</v>
      </c>
      <c r="CU53" s="2">
        <v>395.35</v>
      </c>
      <c r="CV53" s="2">
        <v>396.03</v>
      </c>
      <c r="CW53" s="2">
        <v>403.27</v>
      </c>
      <c r="CX53" s="2">
        <v>400.53</v>
      </c>
      <c r="CY53" s="2">
        <v>399.95</v>
      </c>
      <c r="CZ53" s="2">
        <v>400.34</v>
      </c>
      <c r="DA53" s="2">
        <v>400.66</v>
      </c>
      <c r="DB53" s="2">
        <v>401.47</v>
      </c>
      <c r="DC53" s="2">
        <v>400.81</v>
      </c>
      <c r="DD53" s="2">
        <v>402.99</v>
      </c>
      <c r="DE53" s="2">
        <v>409.1</v>
      </c>
      <c r="DF53" s="2">
        <v>408.4</v>
      </c>
      <c r="DG53" s="2">
        <v>407.77</v>
      </c>
      <c r="DH53" s="2">
        <v>407.76</v>
      </c>
      <c r="DI53" s="2">
        <v>414.42</v>
      </c>
      <c r="DJ53" s="2">
        <v>415.21</v>
      </c>
      <c r="DK53" s="2">
        <v>412.34</v>
      </c>
      <c r="DL53" s="2">
        <v>411.38</v>
      </c>
      <c r="DM53" s="2">
        <v>411.19</v>
      </c>
      <c r="DN53" s="2">
        <v>413.26</v>
      </c>
      <c r="DO53" s="2">
        <v>413.51</v>
      </c>
      <c r="DP53" s="2">
        <v>414.53</v>
      </c>
      <c r="DQ53" s="2">
        <v>415.53</v>
      </c>
      <c r="DR53" s="2">
        <v>415.11</v>
      </c>
      <c r="DS53" s="2">
        <v>413.97</v>
      </c>
      <c r="DT53" s="2">
        <v>409.41</v>
      </c>
      <c r="DU53" s="2">
        <v>409.96</v>
      </c>
      <c r="DV53" s="2">
        <v>411.48</v>
      </c>
      <c r="DW53" s="2">
        <v>412.81</v>
      </c>
      <c r="DX53" s="2">
        <v>408.39</v>
      </c>
      <c r="DY53" s="2">
        <v>409.61</v>
      </c>
      <c r="DZ53" s="2">
        <v>409.86</v>
      </c>
      <c r="EA53" s="2">
        <v>405.05</v>
      </c>
      <c r="EB53" s="2">
        <v>401.87</v>
      </c>
      <c r="EC53" s="2">
        <v>404.5</v>
      </c>
      <c r="ED53" s="2">
        <v>404.96</v>
      </c>
      <c r="EE53" s="2">
        <v>405.25</v>
      </c>
      <c r="EF53" s="2">
        <v>406.62</v>
      </c>
      <c r="EG53" s="2">
        <v>407.64</v>
      </c>
      <c r="EH53" s="2">
        <v>409.04</v>
      </c>
      <c r="EI53" s="2">
        <v>408.6</v>
      </c>
      <c r="EJ53" s="2">
        <v>409.88</v>
      </c>
      <c r="EK53" s="2">
        <v>409.09</v>
      </c>
      <c r="EL53" s="2">
        <v>410.06</v>
      </c>
      <c r="EM53" s="2">
        <v>410.28</v>
      </c>
      <c r="EN53" s="2">
        <v>414.08</v>
      </c>
      <c r="EO53" s="2">
        <v>410.06</v>
      </c>
      <c r="EP53" s="2">
        <v>415.17</v>
      </c>
      <c r="EQ53" s="2">
        <v>418.83</v>
      </c>
      <c r="ER53" s="2">
        <v>417.13</v>
      </c>
      <c r="ES53" s="2">
        <v>415.19</v>
      </c>
      <c r="ET53" s="2">
        <v>414.23</v>
      </c>
      <c r="EU53" s="2">
        <v>412.06</v>
      </c>
      <c r="EV53" s="2">
        <v>414.38</v>
      </c>
      <c r="EW53" s="2">
        <v>416.18</v>
      </c>
      <c r="EX53" s="2">
        <v>417.82</v>
      </c>
      <c r="EY53" s="2">
        <v>418.69</v>
      </c>
      <c r="EZ53" s="2">
        <v>414.27</v>
      </c>
      <c r="FA53" s="2">
        <v>416.65</v>
      </c>
      <c r="FB53" s="2">
        <v>417.72</v>
      </c>
      <c r="FC53" s="2">
        <v>416.37</v>
      </c>
      <c r="FD53" s="2">
        <v>414.63</v>
      </c>
      <c r="FE53" s="2">
        <v>416.02</v>
      </c>
      <c r="FF53" s="2">
        <v>413.11</v>
      </c>
      <c r="FG53" s="2">
        <v>414.58</v>
      </c>
      <c r="FH53" s="2">
        <v>418.35</v>
      </c>
      <c r="FI53" s="2">
        <v>416.37</v>
      </c>
      <c r="FJ53" s="2">
        <v>416.77</v>
      </c>
      <c r="FK53" s="2">
        <v>416.58</v>
      </c>
      <c r="FL53" s="2">
        <v>417.59</v>
      </c>
      <c r="FM53" s="2">
        <v>421.17</v>
      </c>
      <c r="FN53" s="2">
        <v>425.94</v>
      </c>
      <c r="FO53" s="2">
        <v>424.2</v>
      </c>
      <c r="FP53" s="2">
        <v>423.72</v>
      </c>
      <c r="FQ53" s="2">
        <v>430.91</v>
      </c>
      <c r="FR53" s="2">
        <v>431.11</v>
      </c>
      <c r="FS53" s="2">
        <v>434.33</v>
      </c>
      <c r="FT53" s="2">
        <v>431.37</v>
      </c>
      <c r="FU53" s="2">
        <v>434.75</v>
      </c>
      <c r="FV53" s="2">
        <v>428.54</v>
      </c>
      <c r="FW53" s="2">
        <v>428.83</v>
      </c>
      <c r="FX53" s="2">
        <v>432.24</v>
      </c>
      <c r="FY53" s="2">
        <v>431.64</v>
      </c>
      <c r="FZ53" s="2">
        <v>432.96</v>
      </c>
      <c r="GA53" s="2">
        <v>436.68</v>
      </c>
      <c r="GB53" s="2">
        <v>438.69</v>
      </c>
      <c r="GC53" s="2">
        <v>439.79</v>
      </c>
      <c r="GD53" s="2">
        <v>440.16</v>
      </c>
      <c r="GE53" s="2">
        <v>440.49</v>
      </c>
      <c r="GF53" s="2">
        <v>437.95</v>
      </c>
      <c r="GG53" s="2">
        <v>438.36</v>
      </c>
      <c r="GH53" s="2">
        <v>439.16</v>
      </c>
      <c r="GI53" s="2">
        <v>439.21</v>
      </c>
      <c r="GJ53" s="2">
        <v>444.29</v>
      </c>
      <c r="GK53" s="2">
        <v>443</v>
      </c>
      <c r="GL53" s="2">
        <v>447.8</v>
      </c>
      <c r="GM53" s="2">
        <v>450.63</v>
      </c>
      <c r="GN53" s="2">
        <v>454.54</v>
      </c>
      <c r="GO53" s="2">
        <v>458.59</v>
      </c>
      <c r="GP53" s="2">
        <v>455.47</v>
      </c>
      <c r="GQ53" s="2">
        <v>452.21</v>
      </c>
      <c r="GR53" s="2">
        <v>447.53</v>
      </c>
      <c r="GS53" s="2">
        <v>446.74</v>
      </c>
      <c r="GT53" s="2">
        <v>448.24</v>
      </c>
      <c r="GU53" s="2">
        <v>447.13</v>
      </c>
      <c r="GV53" s="2">
        <v>450.06</v>
      </c>
      <c r="GW53" s="2">
        <v>451.41</v>
      </c>
      <c r="GX53" s="2">
        <v>449.29</v>
      </c>
      <c r="GY53" s="2">
        <v>447.63</v>
      </c>
      <c r="GZ53" s="2">
        <v>447.68</v>
      </c>
      <c r="HA53" s="2">
        <v>450.15</v>
      </c>
      <c r="HB53" s="2">
        <v>450.35</v>
      </c>
      <c r="HC53" s="2">
        <v>451.86</v>
      </c>
      <c r="HD53" s="2">
        <v>454.42</v>
      </c>
      <c r="HE53" s="2">
        <v>454.22</v>
      </c>
      <c r="HF53" s="2">
        <v>455.06</v>
      </c>
      <c r="HG53" s="2">
        <v>456.19</v>
      </c>
      <c r="HH53" s="2">
        <v>455.62</v>
      </c>
      <c r="HI53" s="2">
        <v>456.65</v>
      </c>
      <c r="HJ53" s="2">
        <v>458.61</v>
      </c>
      <c r="HK53" s="2">
        <v>457.45</v>
      </c>
      <c r="HL53" s="2">
        <v>458.36</v>
      </c>
      <c r="HM53" s="2">
        <v>456.35</v>
      </c>
      <c r="HN53" s="2">
        <v>456.3</v>
      </c>
      <c r="HO53" s="2">
        <v>459.72</v>
      </c>
      <c r="HP53" s="2">
        <v>461.32</v>
      </c>
      <c r="HQ53" s="2">
        <v>461.09</v>
      </c>
      <c r="HR53" s="2">
        <v>465.91</v>
      </c>
      <c r="HS53" s="2">
        <v>458.59</v>
      </c>
      <c r="HT53" s="2">
        <v>451.54</v>
      </c>
      <c r="HU53" s="2">
        <v>449.94</v>
      </c>
      <c r="HV53" s="2">
        <v>451.48</v>
      </c>
      <c r="HW53" s="2">
        <v>450.38</v>
      </c>
      <c r="HX53" s="2">
        <v>453.33</v>
      </c>
      <c r="HY53" s="2">
        <v>457.58</v>
      </c>
      <c r="HZ53" s="2">
        <v>456.46</v>
      </c>
      <c r="IA53" s="2">
        <v>456.62</v>
      </c>
      <c r="IB53" s="2">
        <v>456.93</v>
      </c>
      <c r="IC53" s="2">
        <v>461.97</v>
      </c>
      <c r="ID53" s="2">
        <v>466.41</v>
      </c>
      <c r="IE53" s="2">
        <v>467.41</v>
      </c>
      <c r="IF53" s="2">
        <v>467.53</v>
      </c>
      <c r="IG53" s="2">
        <v>467.12</v>
      </c>
      <c r="IH53" s="2">
        <v>467.41</v>
      </c>
      <c r="II53" s="2">
        <v>466.62</v>
      </c>
      <c r="IJ53" s="2">
        <v>465.58</v>
      </c>
      <c r="IK53" s="2">
        <v>467.07</v>
      </c>
      <c r="IL53" s="2">
        <v>467.63</v>
      </c>
      <c r="IM53" s="2">
        <v>467.27</v>
      </c>
      <c r="IN53" s="2">
        <v>461.8</v>
      </c>
      <c r="IO53" s="2">
        <v>468.78</v>
      </c>
      <c r="IP53" s="2">
        <v>461.85</v>
      </c>
      <c r="IQ53" s="2">
        <v>464.84</v>
      </c>
      <c r="IR53" s="2">
        <v>462.12</v>
      </c>
    </row>
    <row r="54" spans="1:252" ht="23.25" customHeight="1" x14ac:dyDescent="0.3">
      <c r="A54" s="4" t="s">
        <v>298</v>
      </c>
      <c r="B54" s="4">
        <v>49</v>
      </c>
      <c r="C54" s="4" t="s">
        <v>347</v>
      </c>
      <c r="D54" s="3" t="s">
        <v>300</v>
      </c>
      <c r="E54" s="3" t="s">
        <v>301</v>
      </c>
      <c r="F54" s="2">
        <v>2049.37</v>
      </c>
      <c r="G54" s="2">
        <v>2070.3200000000002</v>
      </c>
      <c r="H54" s="2">
        <v>2058.48</v>
      </c>
      <c r="I54" s="2">
        <v>2043.26</v>
      </c>
      <c r="J54" s="2">
        <v>2039.17</v>
      </c>
      <c r="K54" s="2">
        <v>2039.6</v>
      </c>
      <c r="L54" s="2">
        <v>2047.76</v>
      </c>
      <c r="M54" s="2">
        <v>2047.76</v>
      </c>
      <c r="N54" s="2">
        <v>2046.78</v>
      </c>
      <c r="O54" s="2">
        <v>2043.53</v>
      </c>
      <c r="P54" s="2">
        <v>2033.39</v>
      </c>
      <c r="Q54" s="2">
        <v>2030.43</v>
      </c>
      <c r="R54" s="2">
        <v>2034.81</v>
      </c>
      <c r="S54" s="2">
        <v>2030.16</v>
      </c>
      <c r="T54" s="2">
        <v>2028.47</v>
      </c>
      <c r="U54" s="2">
        <v>2022.71</v>
      </c>
      <c r="V54" s="2">
        <v>2013.67</v>
      </c>
      <c r="W54" s="2">
        <v>2015.78</v>
      </c>
      <c r="X54" s="2">
        <v>2017.33</v>
      </c>
      <c r="Y54" s="2">
        <v>2028.32</v>
      </c>
      <c r="Z54" s="2">
        <v>2055.09</v>
      </c>
      <c r="AA54" s="2">
        <v>2057.2199999999998</v>
      </c>
      <c r="AB54" s="2">
        <v>2052.15</v>
      </c>
      <c r="AC54" s="2">
        <v>2031.57</v>
      </c>
      <c r="AD54" s="2">
        <v>2038.77</v>
      </c>
      <c r="AE54" s="2">
        <v>2045.81</v>
      </c>
      <c r="AF54" s="2">
        <v>2054.83</v>
      </c>
      <c r="AG54" s="2">
        <v>2046.51</v>
      </c>
      <c r="AH54" s="2">
        <v>2046.37</v>
      </c>
      <c r="AI54" s="2">
        <v>2051.61</v>
      </c>
      <c r="AJ54" s="2">
        <v>2041.16</v>
      </c>
      <c r="AK54" s="2">
        <v>2039.89</v>
      </c>
      <c r="AL54" s="2">
        <v>2047.37</v>
      </c>
      <c r="AM54" s="2">
        <v>2058.11</v>
      </c>
      <c r="AN54" s="2">
        <v>2068.9699999999998</v>
      </c>
      <c r="AO54" s="2">
        <v>2068.1</v>
      </c>
      <c r="AP54" s="2">
        <v>2072.7800000000002</v>
      </c>
      <c r="AQ54" s="2">
        <v>2066.71</v>
      </c>
      <c r="AR54" s="2">
        <v>2068.83</v>
      </c>
      <c r="AS54" s="2">
        <v>2068.41</v>
      </c>
      <c r="AT54" s="2">
        <v>2074.19</v>
      </c>
      <c r="AU54" s="2">
        <v>2075.7399999999998</v>
      </c>
      <c r="AV54" s="2">
        <v>2070.2399999999998</v>
      </c>
      <c r="AW54" s="2">
        <v>2069.11</v>
      </c>
      <c r="AX54" s="2">
        <v>2030.04</v>
      </c>
      <c r="AY54" s="2">
        <v>2067.56</v>
      </c>
      <c r="AZ54" s="2">
        <v>2073.62</v>
      </c>
      <c r="BA54" s="2">
        <v>2091.54</v>
      </c>
      <c r="BB54" s="2">
        <v>2057.12</v>
      </c>
      <c r="BC54" s="2">
        <v>2046.26</v>
      </c>
      <c r="BD54" s="2">
        <v>2013.26</v>
      </c>
      <c r="BE54" s="2">
        <v>2007.48</v>
      </c>
      <c r="BF54" s="2">
        <v>2013.26</v>
      </c>
      <c r="BG54" s="2">
        <v>2002.68</v>
      </c>
      <c r="BH54" s="2">
        <v>2004.94</v>
      </c>
      <c r="BI54" s="2">
        <v>2001.27</v>
      </c>
      <c r="BJ54" s="2">
        <v>2006.49</v>
      </c>
      <c r="BK54" s="2">
        <v>2012.13</v>
      </c>
      <c r="BL54" s="2">
        <v>2017.21</v>
      </c>
      <c r="BM54" s="2">
        <v>2023.41</v>
      </c>
      <c r="BN54" s="2">
        <v>2030.04</v>
      </c>
      <c r="BO54" s="2">
        <v>2028.91</v>
      </c>
      <c r="BP54" s="2">
        <v>2012.55</v>
      </c>
      <c r="BQ54" s="2">
        <v>2012.13</v>
      </c>
      <c r="BR54" s="2">
        <v>1966.29</v>
      </c>
      <c r="BS54" s="2">
        <v>1968.97</v>
      </c>
      <c r="BT54" s="2">
        <v>1982.51</v>
      </c>
      <c r="BU54" s="2">
        <v>1975.18</v>
      </c>
      <c r="BV54" s="2">
        <v>1993.94</v>
      </c>
      <c r="BW54" s="2">
        <v>1996.9</v>
      </c>
      <c r="BX54" s="2">
        <v>1974.05</v>
      </c>
      <c r="BY54" s="2">
        <v>1966.57</v>
      </c>
      <c r="BZ54" s="2">
        <v>1971.79</v>
      </c>
      <c r="CA54" s="2">
        <v>1964.17</v>
      </c>
      <c r="CB54" s="2">
        <v>1956.42</v>
      </c>
      <c r="CC54" s="2">
        <v>1944.15</v>
      </c>
      <c r="CD54" s="2">
        <v>1942.03</v>
      </c>
      <c r="CE54" s="2">
        <v>1925.25</v>
      </c>
      <c r="CF54" s="2">
        <v>1929.9</v>
      </c>
      <c r="CG54" s="2">
        <v>1938.79</v>
      </c>
      <c r="CH54" s="2">
        <v>1948.38</v>
      </c>
      <c r="CI54" s="2">
        <v>1940.34</v>
      </c>
      <c r="CJ54" s="2">
        <v>1942.03</v>
      </c>
      <c r="CK54" s="2">
        <v>1937.66</v>
      </c>
      <c r="CL54" s="2">
        <v>1916.78</v>
      </c>
      <c r="CM54" s="2">
        <v>1916.64</v>
      </c>
      <c r="CN54" s="2">
        <v>1918.05</v>
      </c>
      <c r="CO54" s="2">
        <v>1930.61</v>
      </c>
      <c r="CP54" s="2">
        <v>1922.28</v>
      </c>
      <c r="CQ54" s="2">
        <v>1927.79</v>
      </c>
      <c r="CR54" s="2">
        <v>1923.27</v>
      </c>
      <c r="CS54" s="2">
        <v>1920.59</v>
      </c>
      <c r="CT54" s="2">
        <v>1936.81</v>
      </c>
      <c r="CU54" s="2">
        <v>1945.84</v>
      </c>
      <c r="CV54" s="2">
        <v>1931.45</v>
      </c>
      <c r="CW54" s="2">
        <v>1949.08</v>
      </c>
      <c r="CX54" s="2">
        <v>1925.25</v>
      </c>
      <c r="CY54" s="2">
        <v>1919.46</v>
      </c>
      <c r="CZ54" s="2">
        <v>1914.81</v>
      </c>
      <c r="DA54" s="2">
        <v>1913.12</v>
      </c>
      <c r="DB54" s="2">
        <v>1909.17</v>
      </c>
      <c r="DC54" s="2">
        <v>1907.76</v>
      </c>
      <c r="DD54" s="2">
        <v>1917.35</v>
      </c>
      <c r="DE54" s="2">
        <v>1915.51</v>
      </c>
      <c r="DF54" s="2">
        <v>1924.12</v>
      </c>
      <c r="DG54" s="2">
        <v>1927.5</v>
      </c>
      <c r="DH54" s="2">
        <v>1929.48</v>
      </c>
      <c r="DI54" s="2">
        <v>1937.66</v>
      </c>
      <c r="DJ54" s="2">
        <v>1936.53</v>
      </c>
      <c r="DK54" s="2">
        <v>1938.93</v>
      </c>
      <c r="DL54" s="2">
        <v>1944.29</v>
      </c>
      <c r="DM54" s="2">
        <v>1950.21</v>
      </c>
      <c r="DN54" s="2">
        <v>1956.42</v>
      </c>
      <c r="DO54" s="2">
        <v>1961.64</v>
      </c>
      <c r="DP54" s="2">
        <v>1963.19</v>
      </c>
      <c r="DQ54" s="2">
        <v>1962.06</v>
      </c>
      <c r="DR54" s="2">
        <v>1955.29</v>
      </c>
      <c r="DS54" s="2">
        <v>1945.13</v>
      </c>
      <c r="DT54" s="2">
        <v>1930.47</v>
      </c>
      <c r="DU54" s="2">
        <v>1940.76</v>
      </c>
      <c r="DV54" s="2">
        <v>1945.84</v>
      </c>
      <c r="DW54" s="2">
        <v>1962.48</v>
      </c>
      <c r="DX54" s="2">
        <v>1950.49</v>
      </c>
      <c r="DY54" s="2">
        <v>1961.07</v>
      </c>
      <c r="DZ54" s="2">
        <v>1973.62</v>
      </c>
      <c r="EA54" s="2">
        <v>1953.31</v>
      </c>
      <c r="EB54" s="2">
        <v>1955.85</v>
      </c>
      <c r="EC54" s="2">
        <v>1959.8</v>
      </c>
      <c r="ED54" s="2">
        <v>1952.33</v>
      </c>
      <c r="EE54" s="2">
        <v>1954.87</v>
      </c>
      <c r="EF54" s="2">
        <v>1958.11</v>
      </c>
      <c r="EG54" s="2">
        <v>1960.79</v>
      </c>
      <c r="EH54" s="2">
        <v>1951.76</v>
      </c>
      <c r="EI54" s="2">
        <v>1949.51</v>
      </c>
      <c r="EJ54" s="2">
        <v>1953.88</v>
      </c>
      <c r="EK54" s="2">
        <v>1959.66</v>
      </c>
      <c r="EL54" s="2">
        <v>1971.09</v>
      </c>
      <c r="EM54" s="2">
        <v>1971.93</v>
      </c>
      <c r="EN54" s="2">
        <v>1968.41</v>
      </c>
      <c r="EO54" s="2">
        <v>1955.29</v>
      </c>
      <c r="EP54" s="2">
        <v>1962.2</v>
      </c>
      <c r="EQ54" s="2">
        <v>1968.55</v>
      </c>
      <c r="ER54" s="2">
        <v>1958.53</v>
      </c>
      <c r="ES54" s="2">
        <v>1957.26</v>
      </c>
      <c r="ET54" s="2">
        <v>1963.89</v>
      </c>
      <c r="EU54" s="2">
        <v>1963.61</v>
      </c>
      <c r="EV54" s="2">
        <v>1965.87</v>
      </c>
      <c r="EW54" s="2">
        <v>1964.32</v>
      </c>
      <c r="EX54" s="2">
        <v>1963.05</v>
      </c>
      <c r="EY54" s="2">
        <v>1961.07</v>
      </c>
      <c r="EZ54" s="2">
        <v>1955.71</v>
      </c>
      <c r="FA54" s="2">
        <v>1957.12</v>
      </c>
      <c r="FB54" s="2">
        <v>1959.66</v>
      </c>
      <c r="FC54" s="2">
        <v>1958.67</v>
      </c>
      <c r="FD54" s="2">
        <v>1959.8</v>
      </c>
      <c r="FE54" s="2">
        <v>1949.65</v>
      </c>
      <c r="FF54" s="2">
        <v>1946.4</v>
      </c>
      <c r="FG54" s="2">
        <v>1952.89</v>
      </c>
      <c r="FH54" s="2">
        <v>1965.59</v>
      </c>
      <c r="FI54" s="2">
        <v>1966.15</v>
      </c>
      <c r="FJ54" s="2">
        <v>1965.87</v>
      </c>
      <c r="FK54" s="2">
        <v>1967.42</v>
      </c>
      <c r="FL54" s="2">
        <v>1975.18</v>
      </c>
      <c r="FM54" s="2">
        <v>1990.97</v>
      </c>
      <c r="FN54" s="2">
        <v>1977.72</v>
      </c>
      <c r="FO54" s="2">
        <v>1979.13</v>
      </c>
      <c r="FP54" s="2">
        <v>1983.07</v>
      </c>
      <c r="FQ54" s="2">
        <v>1977.29</v>
      </c>
      <c r="FR54" s="2">
        <v>2003.53</v>
      </c>
      <c r="FS54" s="2">
        <v>2013.68</v>
      </c>
      <c r="FT54" s="2">
        <v>2014.67</v>
      </c>
      <c r="FU54" s="2">
        <v>2009.03</v>
      </c>
      <c r="FV54" s="2">
        <v>2001.55</v>
      </c>
      <c r="FW54" s="2">
        <v>2002.12</v>
      </c>
      <c r="FX54" s="2">
        <v>2003.1</v>
      </c>
      <c r="FY54" s="2">
        <v>2008.04</v>
      </c>
      <c r="FZ54" s="2">
        <v>2017.07</v>
      </c>
      <c r="GA54" s="2">
        <v>2026.23</v>
      </c>
      <c r="GB54" s="2">
        <v>2025.53</v>
      </c>
      <c r="GC54" s="2">
        <v>2020.45</v>
      </c>
      <c r="GD54" s="2">
        <v>2022.99</v>
      </c>
      <c r="GE54" s="2">
        <v>2021.16</v>
      </c>
      <c r="GF54" s="2">
        <v>2007.33</v>
      </c>
      <c r="GG54" s="2">
        <v>2013.26</v>
      </c>
      <c r="GH54" s="2">
        <v>2015.51</v>
      </c>
      <c r="GI54" s="2">
        <v>2027.79</v>
      </c>
      <c r="GJ54" s="2">
        <v>2040.9</v>
      </c>
      <c r="GK54" s="2">
        <v>2038.93</v>
      </c>
      <c r="GL54" s="2">
        <v>2050.7800000000002</v>
      </c>
      <c r="GM54" s="2">
        <v>2050.35</v>
      </c>
      <c r="GN54" s="2">
        <v>2063.75</v>
      </c>
      <c r="GO54" s="2">
        <v>2068.27</v>
      </c>
      <c r="GP54" s="2">
        <v>2072.64</v>
      </c>
      <c r="GQ54" s="2">
        <v>2057.12</v>
      </c>
      <c r="GR54" s="2">
        <v>2056.84</v>
      </c>
      <c r="GS54" s="2">
        <v>2066.5700000000002</v>
      </c>
      <c r="GT54" s="2">
        <v>2066.29</v>
      </c>
      <c r="GU54" s="2">
        <v>2071.09</v>
      </c>
      <c r="GV54" s="2">
        <v>2076.16</v>
      </c>
      <c r="GW54" s="2">
        <v>2078.2800000000002</v>
      </c>
      <c r="GX54" s="2">
        <v>2078.2800000000002</v>
      </c>
      <c r="GY54" s="2">
        <v>2063.0500000000002</v>
      </c>
      <c r="GZ54" s="2">
        <v>2066.0100000000002</v>
      </c>
      <c r="HA54" s="2">
        <v>2067.56</v>
      </c>
      <c r="HB54" s="2">
        <v>2072.0700000000002</v>
      </c>
      <c r="HC54" s="2">
        <v>2072.7800000000002</v>
      </c>
      <c r="HD54" s="2">
        <v>2071.5100000000002</v>
      </c>
      <c r="HE54" s="2">
        <v>2075.46</v>
      </c>
      <c r="HF54" s="2">
        <v>2076.3000000000002</v>
      </c>
      <c r="HG54" s="2">
        <v>2071.9299999999998</v>
      </c>
      <c r="HH54" s="2">
        <v>2073.91</v>
      </c>
      <c r="HI54" s="2">
        <v>2073.91</v>
      </c>
      <c r="HJ54" s="2">
        <v>2072.64</v>
      </c>
      <c r="HK54" s="2">
        <v>2076.87</v>
      </c>
      <c r="HL54" s="2">
        <v>2079.13</v>
      </c>
      <c r="HM54" s="2">
        <v>2076.73</v>
      </c>
      <c r="HN54" s="2">
        <v>2085.4699999999998</v>
      </c>
      <c r="HO54" s="2">
        <v>2083.5</v>
      </c>
      <c r="HP54" s="2">
        <v>2084.34</v>
      </c>
      <c r="HQ54" s="2">
        <v>2085.9</v>
      </c>
      <c r="HR54" s="2">
        <v>2092.2399999999998</v>
      </c>
      <c r="HS54" s="2">
        <v>2060.08</v>
      </c>
      <c r="HT54" s="2">
        <v>2034.27</v>
      </c>
      <c r="HU54" s="2">
        <v>2022.43</v>
      </c>
      <c r="HV54" s="2">
        <v>2023.84</v>
      </c>
      <c r="HW54" s="2">
        <v>2023.84</v>
      </c>
      <c r="HX54" s="2">
        <v>2033.99</v>
      </c>
      <c r="HY54" s="2">
        <v>2040.62</v>
      </c>
      <c r="HZ54" s="2">
        <v>2039.07</v>
      </c>
      <c r="IA54" s="2">
        <v>2042.74</v>
      </c>
      <c r="IB54" s="2">
        <v>2044.29</v>
      </c>
      <c r="IC54" s="2">
        <v>2053.17</v>
      </c>
      <c r="ID54" s="2">
        <v>2065.02</v>
      </c>
      <c r="IE54" s="2">
        <v>2077.29</v>
      </c>
      <c r="IF54" s="2">
        <v>2083.92</v>
      </c>
      <c r="IG54" s="2">
        <v>2072.92</v>
      </c>
      <c r="IH54" s="2">
        <v>2078.2800000000002</v>
      </c>
      <c r="II54" s="2">
        <v>2078.42</v>
      </c>
      <c r="IJ54" s="2">
        <v>2083.2199999999998</v>
      </c>
      <c r="IK54" s="2">
        <v>2077.29</v>
      </c>
      <c r="IL54" s="2">
        <v>2071.09</v>
      </c>
      <c r="IM54" s="2">
        <v>2069.39</v>
      </c>
      <c r="IN54" s="2">
        <v>2034.98</v>
      </c>
      <c r="IO54" s="2">
        <v>2043.44</v>
      </c>
      <c r="IP54" s="2">
        <v>2014.95</v>
      </c>
      <c r="IQ54" s="2">
        <v>2012.69</v>
      </c>
      <c r="IR54" s="2">
        <v>2026.38</v>
      </c>
    </row>
    <row r="55" spans="1:252" ht="23.25" customHeight="1" x14ac:dyDescent="0.3">
      <c r="A55" s="4" t="s">
        <v>298</v>
      </c>
      <c r="B55" s="4">
        <v>21</v>
      </c>
      <c r="C55" s="4" t="s">
        <v>348</v>
      </c>
      <c r="D55" s="3" t="s">
        <v>300</v>
      </c>
      <c r="E55" s="3" t="s">
        <v>301</v>
      </c>
      <c r="F55" s="2">
        <v>4703.9399999999996</v>
      </c>
      <c r="G55" s="2">
        <v>4758.8500000000004</v>
      </c>
      <c r="H55" s="2">
        <v>4733.6400000000003</v>
      </c>
      <c r="I55" s="2">
        <v>4699.55</v>
      </c>
      <c r="J55" s="2">
        <v>4688.9399999999996</v>
      </c>
      <c r="K55" s="2">
        <v>4685.66</v>
      </c>
      <c r="L55" s="2">
        <v>4708.8900000000003</v>
      </c>
      <c r="M55" s="2">
        <v>4706.78</v>
      </c>
      <c r="N55" s="2">
        <v>4701.88</v>
      </c>
      <c r="O55" s="2">
        <v>4696.45</v>
      </c>
      <c r="P55" s="2">
        <v>4676.93</v>
      </c>
      <c r="Q55" s="2">
        <v>4670.3999999999996</v>
      </c>
      <c r="R55" s="2">
        <v>4675.99</v>
      </c>
      <c r="S55" s="2">
        <v>4665.3100000000004</v>
      </c>
      <c r="T55" s="2">
        <v>4665.05</v>
      </c>
      <c r="U55" s="2">
        <v>4648.92</v>
      </c>
      <c r="V55" s="2">
        <v>4631.99</v>
      </c>
      <c r="W55" s="2">
        <v>4640.76</v>
      </c>
      <c r="X55" s="2">
        <v>4643.58</v>
      </c>
      <c r="Y55" s="2">
        <v>4663.43</v>
      </c>
      <c r="Z55" s="2">
        <v>4729.13</v>
      </c>
      <c r="AA55" s="2">
        <v>4729.59</v>
      </c>
      <c r="AB55" s="2">
        <v>4717.32</v>
      </c>
      <c r="AC55" s="2">
        <v>4676.72</v>
      </c>
      <c r="AD55" s="2">
        <v>4695.47</v>
      </c>
      <c r="AE55" s="2">
        <v>4709.91</v>
      </c>
      <c r="AF55" s="2">
        <v>4731.91</v>
      </c>
      <c r="AG55" s="2">
        <v>4712.6000000000004</v>
      </c>
      <c r="AH55" s="2">
        <v>4711.3599999999997</v>
      </c>
      <c r="AI55" s="2">
        <v>4722.3</v>
      </c>
      <c r="AJ55" s="2">
        <v>4700.6899999999996</v>
      </c>
      <c r="AK55" s="2">
        <v>4699.4399999999996</v>
      </c>
      <c r="AL55" s="2">
        <v>4717.25</v>
      </c>
      <c r="AM55" s="2">
        <v>4736.28</v>
      </c>
      <c r="AN55" s="2">
        <v>4758.34</v>
      </c>
      <c r="AO55" s="2">
        <v>4755.1000000000004</v>
      </c>
      <c r="AP55" s="2">
        <v>4765.3900000000003</v>
      </c>
      <c r="AQ55" s="2">
        <v>4749.6000000000004</v>
      </c>
      <c r="AR55" s="2">
        <v>4755.7</v>
      </c>
      <c r="AS55" s="2">
        <v>4758.58</v>
      </c>
      <c r="AT55" s="2">
        <v>4768.33</v>
      </c>
      <c r="AU55" s="2">
        <v>4772.2</v>
      </c>
      <c r="AV55" s="2">
        <v>4762.34</v>
      </c>
      <c r="AW55" s="2">
        <v>4769.8</v>
      </c>
      <c r="AX55" s="2">
        <v>4680.5</v>
      </c>
      <c r="AY55" s="2">
        <v>4758.18</v>
      </c>
      <c r="AZ55" s="2">
        <v>4771.5200000000004</v>
      </c>
      <c r="BA55" s="2">
        <v>4821.18</v>
      </c>
      <c r="BB55" s="2">
        <v>4751.74</v>
      </c>
      <c r="BC55" s="2">
        <v>4725.43</v>
      </c>
      <c r="BD55" s="2">
        <v>4654.21</v>
      </c>
      <c r="BE55" s="2">
        <v>4638.42</v>
      </c>
      <c r="BF55" s="2">
        <v>4655.58</v>
      </c>
      <c r="BG55" s="2">
        <v>4630.96</v>
      </c>
      <c r="BH55" s="2">
        <v>4636.18</v>
      </c>
      <c r="BI55" s="2">
        <v>4635.5600000000004</v>
      </c>
      <c r="BJ55" s="2">
        <v>4652.82</v>
      </c>
      <c r="BK55" s="2">
        <v>4655.3999999999996</v>
      </c>
      <c r="BL55" s="2">
        <v>4665.01</v>
      </c>
      <c r="BM55" s="2">
        <v>4677.6899999999996</v>
      </c>
      <c r="BN55" s="2">
        <v>4693.17</v>
      </c>
      <c r="BO55" s="2">
        <v>4696.53</v>
      </c>
      <c r="BP55" s="2">
        <v>4649.09</v>
      </c>
      <c r="BQ55" s="2">
        <v>4652.51</v>
      </c>
      <c r="BR55" s="2">
        <v>4544.1499999999996</v>
      </c>
      <c r="BS55" s="2">
        <v>4546.6400000000003</v>
      </c>
      <c r="BT55" s="2">
        <v>4578.2</v>
      </c>
      <c r="BU55" s="2">
        <v>4552.8100000000004</v>
      </c>
      <c r="BV55" s="2">
        <v>4600.54</v>
      </c>
      <c r="BW55" s="2">
        <v>4603.4799999999996</v>
      </c>
      <c r="BX55" s="2">
        <v>4553.91</v>
      </c>
      <c r="BY55" s="2">
        <v>4538.88</v>
      </c>
      <c r="BZ55" s="2">
        <v>4549.3</v>
      </c>
      <c r="CA55" s="2">
        <v>4536.3</v>
      </c>
      <c r="CB55" s="2">
        <v>4520.45</v>
      </c>
      <c r="CC55" s="2">
        <v>4490.93</v>
      </c>
      <c r="CD55" s="2">
        <v>4491.16</v>
      </c>
      <c r="CE55" s="2">
        <v>4454.96</v>
      </c>
      <c r="CF55" s="2">
        <v>4461.07</v>
      </c>
      <c r="CG55" s="2">
        <v>4476.3599999999997</v>
      </c>
      <c r="CH55" s="2">
        <v>4500.99</v>
      </c>
      <c r="CI55" s="2">
        <v>4483.3</v>
      </c>
      <c r="CJ55" s="2">
        <v>4488.67</v>
      </c>
      <c r="CK55" s="2">
        <v>4484.71</v>
      </c>
      <c r="CL55" s="2">
        <v>4428.1499999999996</v>
      </c>
      <c r="CM55" s="2">
        <v>4433.75</v>
      </c>
      <c r="CN55" s="2">
        <v>4439.62</v>
      </c>
      <c r="CO55" s="2">
        <v>4474.66</v>
      </c>
      <c r="CP55" s="2">
        <v>4456.3999999999996</v>
      </c>
      <c r="CQ55" s="2">
        <v>4466.8100000000004</v>
      </c>
      <c r="CR55" s="2">
        <v>4456.3500000000004</v>
      </c>
      <c r="CS55" s="2">
        <v>4447.53</v>
      </c>
      <c r="CT55" s="2">
        <v>4481.43</v>
      </c>
      <c r="CU55" s="2">
        <v>4502.6099999999997</v>
      </c>
      <c r="CV55" s="2">
        <v>4469.8999999999996</v>
      </c>
      <c r="CW55" s="2">
        <v>4518.08</v>
      </c>
      <c r="CX55" s="2">
        <v>4465.0200000000004</v>
      </c>
      <c r="CY55" s="2">
        <v>4453.6400000000003</v>
      </c>
      <c r="CZ55" s="2">
        <v>4441.1000000000004</v>
      </c>
      <c r="DA55" s="2">
        <v>4440.5200000000004</v>
      </c>
      <c r="DB55" s="2">
        <v>4430.04</v>
      </c>
      <c r="DC55" s="2">
        <v>4432.28</v>
      </c>
      <c r="DD55" s="2">
        <v>4455.1499999999996</v>
      </c>
      <c r="DE55" s="2">
        <v>4448.5600000000004</v>
      </c>
      <c r="DF55" s="2">
        <v>4468.54</v>
      </c>
      <c r="DG55" s="2">
        <v>4476.6899999999996</v>
      </c>
      <c r="DH55" s="2">
        <v>4478.34</v>
      </c>
      <c r="DI55" s="2">
        <v>4497.7700000000004</v>
      </c>
      <c r="DJ55" s="2">
        <v>4491.63</v>
      </c>
      <c r="DK55" s="2">
        <v>4497.63</v>
      </c>
      <c r="DL55" s="2">
        <v>4511.9799999999996</v>
      </c>
      <c r="DM55" s="2">
        <v>4523.0600000000004</v>
      </c>
      <c r="DN55" s="2">
        <v>4540.57</v>
      </c>
      <c r="DO55" s="2">
        <v>4551.34</v>
      </c>
      <c r="DP55" s="2">
        <v>4554.9399999999996</v>
      </c>
      <c r="DQ55" s="2">
        <v>4556.05</v>
      </c>
      <c r="DR55" s="2">
        <v>4541.5200000000004</v>
      </c>
      <c r="DS55" s="2">
        <v>4519.12</v>
      </c>
      <c r="DT55" s="2">
        <v>4487.54</v>
      </c>
      <c r="DU55" s="2">
        <v>4508.67</v>
      </c>
      <c r="DV55" s="2">
        <v>4516.47</v>
      </c>
      <c r="DW55" s="2">
        <v>4554.3500000000004</v>
      </c>
      <c r="DX55" s="2">
        <v>4520.17</v>
      </c>
      <c r="DY55" s="2">
        <v>4542.75</v>
      </c>
      <c r="DZ55" s="2">
        <v>4580.8100000000004</v>
      </c>
      <c r="EA55" s="2">
        <v>4533.5200000000004</v>
      </c>
      <c r="EB55" s="2">
        <v>4536.29</v>
      </c>
      <c r="EC55" s="2">
        <v>4548.88</v>
      </c>
      <c r="ED55" s="2">
        <v>4528.71</v>
      </c>
      <c r="EE55" s="2">
        <v>4535.49</v>
      </c>
      <c r="EF55" s="2">
        <v>4540.34</v>
      </c>
      <c r="EG55" s="2">
        <v>4551.32</v>
      </c>
      <c r="EH55" s="2">
        <v>4530.96</v>
      </c>
      <c r="EI55" s="2">
        <v>4525.28</v>
      </c>
      <c r="EJ55" s="2">
        <v>4532.01</v>
      </c>
      <c r="EK55" s="2">
        <v>4544.83</v>
      </c>
      <c r="EL55" s="2">
        <v>4572.82</v>
      </c>
      <c r="EM55" s="2">
        <v>4570.45</v>
      </c>
      <c r="EN55" s="2">
        <v>4569.3</v>
      </c>
      <c r="EO55" s="2">
        <v>4535.13</v>
      </c>
      <c r="EP55" s="2">
        <v>4552.3599999999997</v>
      </c>
      <c r="EQ55" s="2">
        <v>4568.58</v>
      </c>
      <c r="ER55" s="2">
        <v>4545.34</v>
      </c>
      <c r="ES55" s="2">
        <v>4542.6899999999996</v>
      </c>
      <c r="ET55" s="2">
        <v>4556.28</v>
      </c>
      <c r="EU55" s="2">
        <v>4551.01</v>
      </c>
      <c r="EV55" s="2">
        <v>4557.7299999999996</v>
      </c>
      <c r="EW55" s="2">
        <v>4554.13</v>
      </c>
      <c r="EX55" s="2">
        <v>4563.28</v>
      </c>
      <c r="EY55" s="2">
        <v>4552.72</v>
      </c>
      <c r="EZ55" s="2">
        <v>4538.79</v>
      </c>
      <c r="FA55" s="2">
        <v>4541.91</v>
      </c>
      <c r="FB55" s="2">
        <v>4550.1899999999996</v>
      </c>
      <c r="FC55" s="2">
        <v>4547</v>
      </c>
      <c r="FD55" s="2">
        <v>4551.1099999999997</v>
      </c>
      <c r="FE55" s="2">
        <v>4533.17</v>
      </c>
      <c r="FF55" s="2">
        <v>4522.96</v>
      </c>
      <c r="FG55" s="2">
        <v>4536.1000000000004</v>
      </c>
      <c r="FH55" s="2">
        <v>4571.43</v>
      </c>
      <c r="FI55" s="2">
        <v>4573.1899999999996</v>
      </c>
      <c r="FJ55" s="2">
        <v>4574.34</v>
      </c>
      <c r="FK55" s="2">
        <v>4566.7</v>
      </c>
      <c r="FL55" s="2">
        <v>4579.46</v>
      </c>
      <c r="FM55" s="2">
        <v>4626.68</v>
      </c>
      <c r="FN55" s="2">
        <v>4590</v>
      </c>
      <c r="FO55" s="2">
        <v>4591.92</v>
      </c>
      <c r="FP55" s="2">
        <v>4600.33</v>
      </c>
      <c r="FQ55" s="2">
        <v>4588.87</v>
      </c>
      <c r="FR55" s="2">
        <v>4649.75</v>
      </c>
      <c r="FS55" s="2">
        <v>4651.09</v>
      </c>
      <c r="FT55" s="2">
        <v>4654.8900000000003</v>
      </c>
      <c r="FU55" s="2">
        <v>4653.53</v>
      </c>
      <c r="FV55" s="2">
        <v>4642.8900000000003</v>
      </c>
      <c r="FW55" s="2">
        <v>4638.8900000000003</v>
      </c>
      <c r="FX55" s="2">
        <v>4641.93</v>
      </c>
      <c r="FY55" s="2">
        <v>4646.09</v>
      </c>
      <c r="FZ55" s="2">
        <v>4665.1400000000003</v>
      </c>
      <c r="GA55" s="2">
        <v>4685.43</v>
      </c>
      <c r="GB55" s="2">
        <v>4683.8</v>
      </c>
      <c r="GC55" s="2">
        <v>4672.67</v>
      </c>
      <c r="GD55" s="2">
        <v>4676.5600000000004</v>
      </c>
      <c r="GE55" s="2">
        <v>4671.25</v>
      </c>
      <c r="GF55" s="2">
        <v>4637.6400000000003</v>
      </c>
      <c r="GG55" s="2">
        <v>4652.6899999999996</v>
      </c>
      <c r="GH55" s="2">
        <v>4650.18</v>
      </c>
      <c r="GI55" s="2">
        <v>4676.97</v>
      </c>
      <c r="GJ55" s="2">
        <v>4710.13</v>
      </c>
      <c r="GK55" s="2">
        <v>4709.5600000000004</v>
      </c>
      <c r="GL55" s="2">
        <v>4734.92</v>
      </c>
      <c r="GM55" s="2">
        <v>4733.95</v>
      </c>
      <c r="GN55" s="2">
        <v>4764.88</v>
      </c>
      <c r="GO55" s="2">
        <v>4774.84</v>
      </c>
      <c r="GP55" s="2">
        <v>4791.4799999999996</v>
      </c>
      <c r="GQ55" s="2">
        <v>4752.83</v>
      </c>
      <c r="GR55" s="2">
        <v>4752.95</v>
      </c>
      <c r="GS55" s="2">
        <v>4770.7700000000004</v>
      </c>
      <c r="GT55" s="2">
        <v>4765.16</v>
      </c>
      <c r="GU55" s="2">
        <v>4777.93</v>
      </c>
      <c r="GV55" s="2">
        <v>4788.55</v>
      </c>
      <c r="GW55" s="2">
        <v>4794.21</v>
      </c>
      <c r="GX55" s="2">
        <v>4798.8900000000003</v>
      </c>
      <c r="GY55" s="2">
        <v>4764.96</v>
      </c>
      <c r="GZ55" s="2">
        <v>4772.58</v>
      </c>
      <c r="HA55" s="2">
        <v>4776.79</v>
      </c>
      <c r="HB55" s="2">
        <v>4786.43</v>
      </c>
      <c r="HC55" s="2">
        <v>4785.88</v>
      </c>
      <c r="HD55" s="2">
        <v>4787.78</v>
      </c>
      <c r="HE55" s="2">
        <v>4792.07</v>
      </c>
      <c r="HF55" s="2">
        <v>4796.3599999999997</v>
      </c>
      <c r="HG55" s="2">
        <v>4782.0600000000004</v>
      </c>
      <c r="HH55" s="2">
        <v>4786.6099999999997</v>
      </c>
      <c r="HI55" s="2">
        <v>4792.54</v>
      </c>
      <c r="HJ55" s="2">
        <v>4791.01</v>
      </c>
      <c r="HK55" s="2">
        <v>4819.6499999999996</v>
      </c>
      <c r="HL55" s="2">
        <v>4803.04</v>
      </c>
      <c r="HM55" s="2">
        <v>4801.25</v>
      </c>
      <c r="HN55" s="2">
        <v>4817.54</v>
      </c>
      <c r="HO55" s="2">
        <v>4811.41</v>
      </c>
      <c r="HP55" s="2">
        <v>4811.33</v>
      </c>
      <c r="HQ55" s="2">
        <v>4811.62</v>
      </c>
      <c r="HR55" s="2">
        <v>4830.9799999999996</v>
      </c>
      <c r="HS55" s="2">
        <v>4754.3999999999996</v>
      </c>
      <c r="HT55" s="2">
        <v>4698.3500000000004</v>
      </c>
      <c r="HU55" s="2">
        <v>4659.3</v>
      </c>
      <c r="HV55" s="2">
        <v>4659.5200000000004</v>
      </c>
      <c r="HW55" s="2">
        <v>4660.58</v>
      </c>
      <c r="HX55" s="2">
        <v>4690.82</v>
      </c>
      <c r="HY55" s="2">
        <v>4709.6400000000003</v>
      </c>
      <c r="HZ55" s="2">
        <v>4704.22</v>
      </c>
      <c r="IA55" s="2">
        <v>4740.75</v>
      </c>
      <c r="IB55" s="2">
        <v>4742.8</v>
      </c>
      <c r="IC55" s="2">
        <v>4760.3</v>
      </c>
      <c r="ID55" s="2">
        <v>4787.7700000000004</v>
      </c>
      <c r="IE55" s="2">
        <v>4816.22</v>
      </c>
      <c r="IF55" s="2">
        <v>4831.59</v>
      </c>
      <c r="IG55" s="2">
        <v>4806.08</v>
      </c>
      <c r="IH55" s="2">
        <v>4818.51</v>
      </c>
      <c r="II55" s="2">
        <v>4818.84</v>
      </c>
      <c r="IJ55" s="2">
        <v>4831.53</v>
      </c>
      <c r="IK55" s="2">
        <v>4820.16</v>
      </c>
      <c r="IL55" s="2">
        <v>4804.1899999999996</v>
      </c>
      <c r="IM55" s="2">
        <v>4806.55</v>
      </c>
      <c r="IN55" s="2">
        <v>4729.72</v>
      </c>
      <c r="IO55" s="2">
        <v>4749.3900000000003</v>
      </c>
      <c r="IP55" s="2">
        <v>4687.78</v>
      </c>
      <c r="IQ55" s="2">
        <v>4682.53</v>
      </c>
      <c r="IR55" s="2">
        <v>4705.8599999999997</v>
      </c>
    </row>
    <row r="56" spans="1:252" ht="23.25" customHeight="1" x14ac:dyDescent="0.3">
      <c r="A56" s="4" t="s">
        <v>298</v>
      </c>
      <c r="B56" s="4">
        <v>22</v>
      </c>
      <c r="C56" s="4" t="s">
        <v>349</v>
      </c>
      <c r="D56" s="3" t="s">
        <v>300</v>
      </c>
      <c r="E56" s="3" t="s">
        <v>301</v>
      </c>
      <c r="F56" s="2">
        <v>3854.21</v>
      </c>
      <c r="G56" s="2">
        <v>3896.98</v>
      </c>
      <c r="H56" s="2">
        <v>3874.7</v>
      </c>
      <c r="I56" s="2">
        <v>3846.05</v>
      </c>
      <c r="J56" s="2">
        <v>3838.46</v>
      </c>
      <c r="K56" s="2">
        <v>3839.26</v>
      </c>
      <c r="L56" s="2">
        <v>3855.27</v>
      </c>
      <c r="M56" s="2">
        <v>3855.95</v>
      </c>
      <c r="N56" s="2">
        <v>3853.56</v>
      </c>
      <c r="O56" s="2">
        <v>3848.4</v>
      </c>
      <c r="P56" s="2">
        <v>3829.3</v>
      </c>
      <c r="Q56" s="2">
        <v>3823.86</v>
      </c>
      <c r="R56" s="2">
        <v>3831.19</v>
      </c>
      <c r="S56" s="2">
        <v>3822.44</v>
      </c>
      <c r="T56" s="2">
        <v>3819.46</v>
      </c>
      <c r="U56" s="2">
        <v>3805.39</v>
      </c>
      <c r="V56" s="2">
        <v>3792.29</v>
      </c>
      <c r="W56" s="2">
        <v>3795.97</v>
      </c>
      <c r="X56" s="2">
        <v>3798.99</v>
      </c>
      <c r="Y56" s="2">
        <v>3819.58</v>
      </c>
      <c r="Z56" s="2">
        <v>3869.95</v>
      </c>
      <c r="AA56" s="2">
        <v>3872.54</v>
      </c>
      <c r="AB56" s="2">
        <v>3862.27</v>
      </c>
      <c r="AC56" s="2">
        <v>3823.97</v>
      </c>
      <c r="AD56" s="2">
        <v>3836.44</v>
      </c>
      <c r="AE56" s="2">
        <v>3850.13</v>
      </c>
      <c r="AF56" s="2">
        <v>3868.13</v>
      </c>
      <c r="AG56" s="2">
        <v>3851.66</v>
      </c>
      <c r="AH56" s="2">
        <v>3851.6</v>
      </c>
      <c r="AI56" s="2">
        <v>3859.3</v>
      </c>
      <c r="AJ56" s="2">
        <v>3841.05</v>
      </c>
      <c r="AK56" s="2">
        <v>3838.46</v>
      </c>
      <c r="AL56" s="2">
        <v>3852.36</v>
      </c>
      <c r="AM56" s="2">
        <v>3870.97</v>
      </c>
      <c r="AN56" s="2">
        <v>3891.29</v>
      </c>
      <c r="AO56" s="2">
        <v>3891.29</v>
      </c>
      <c r="AP56" s="2">
        <v>3897.94</v>
      </c>
      <c r="AQ56" s="2">
        <v>3886.43</v>
      </c>
      <c r="AR56" s="2">
        <v>3890.72</v>
      </c>
      <c r="AS56" s="2">
        <v>3889.92</v>
      </c>
      <c r="AT56" s="2">
        <v>3901</v>
      </c>
      <c r="AU56" s="2">
        <v>3903.92</v>
      </c>
      <c r="AV56" s="2">
        <v>3893.58</v>
      </c>
      <c r="AW56" s="2">
        <v>3891.56</v>
      </c>
      <c r="AX56" s="2">
        <v>3817.87</v>
      </c>
      <c r="AY56" s="2">
        <v>3888.84</v>
      </c>
      <c r="AZ56" s="2">
        <v>3900.25</v>
      </c>
      <c r="BA56" s="2">
        <v>3933.42</v>
      </c>
      <c r="BB56" s="2">
        <v>3869.01</v>
      </c>
      <c r="BC56" s="2">
        <v>3848.68</v>
      </c>
      <c r="BD56" s="2">
        <v>3786.71</v>
      </c>
      <c r="BE56" s="2">
        <v>3775.83</v>
      </c>
      <c r="BF56" s="2">
        <v>3786.81</v>
      </c>
      <c r="BG56" s="2">
        <v>3766.91</v>
      </c>
      <c r="BH56" s="2">
        <v>3770.56</v>
      </c>
      <c r="BI56" s="2">
        <v>3764.36</v>
      </c>
      <c r="BJ56" s="2">
        <v>3774.48</v>
      </c>
      <c r="BK56" s="2">
        <v>3784.89</v>
      </c>
      <c r="BL56" s="2">
        <v>3794.24</v>
      </c>
      <c r="BM56" s="2">
        <v>3805.91</v>
      </c>
      <c r="BN56" s="2">
        <v>3818.38</v>
      </c>
      <c r="BO56" s="2">
        <v>3815.95</v>
      </c>
      <c r="BP56" s="2">
        <v>3784.58</v>
      </c>
      <c r="BQ56" s="2">
        <v>3783.78</v>
      </c>
      <c r="BR56" s="2">
        <v>3697.49</v>
      </c>
      <c r="BS56" s="2">
        <v>3702.72</v>
      </c>
      <c r="BT56" s="2">
        <v>3728.18</v>
      </c>
      <c r="BU56" s="2">
        <v>3714.59</v>
      </c>
      <c r="BV56" s="2">
        <v>3750.07</v>
      </c>
      <c r="BW56" s="2">
        <v>3755.44</v>
      </c>
      <c r="BX56" s="2">
        <v>3712.66</v>
      </c>
      <c r="BY56" s="2">
        <v>3698.6</v>
      </c>
      <c r="BZ56" s="2">
        <v>3708.12</v>
      </c>
      <c r="CA56" s="2">
        <v>3693.8</v>
      </c>
      <c r="CB56" s="2">
        <v>3679.31</v>
      </c>
      <c r="CC56" s="2">
        <v>3655.94</v>
      </c>
      <c r="CD56" s="2">
        <v>3651.96</v>
      </c>
      <c r="CE56" s="2">
        <v>3620.69</v>
      </c>
      <c r="CF56" s="2">
        <v>3629.44</v>
      </c>
      <c r="CG56" s="2">
        <v>3645.96</v>
      </c>
      <c r="CH56" s="2">
        <v>3664.19</v>
      </c>
      <c r="CI56" s="2">
        <v>3649.07</v>
      </c>
      <c r="CJ56" s="2">
        <v>3652.45</v>
      </c>
      <c r="CK56" s="2">
        <v>3644.03</v>
      </c>
      <c r="CL56" s="2">
        <v>3604.77</v>
      </c>
      <c r="CM56" s="2">
        <v>3604.41</v>
      </c>
      <c r="CN56" s="2">
        <v>3606.68</v>
      </c>
      <c r="CO56" s="2">
        <v>3630.38</v>
      </c>
      <c r="CP56" s="2">
        <v>3614.16</v>
      </c>
      <c r="CQ56" s="2">
        <v>3624.5</v>
      </c>
      <c r="CR56" s="2">
        <v>3616.5</v>
      </c>
      <c r="CS56" s="2">
        <v>3611.46</v>
      </c>
      <c r="CT56" s="2">
        <v>3641.18</v>
      </c>
      <c r="CU56" s="2">
        <v>3656.51</v>
      </c>
      <c r="CV56" s="2">
        <v>3629.47</v>
      </c>
      <c r="CW56" s="2">
        <v>3662.6</v>
      </c>
      <c r="CX56" s="2">
        <v>3619.73</v>
      </c>
      <c r="CY56" s="2">
        <v>3607.61</v>
      </c>
      <c r="CZ56" s="2">
        <v>3598.87</v>
      </c>
      <c r="DA56" s="2">
        <v>3596.45</v>
      </c>
      <c r="DB56" s="2">
        <v>3588.55</v>
      </c>
      <c r="DC56" s="2">
        <v>3587.8</v>
      </c>
      <c r="DD56" s="2">
        <v>3606.03</v>
      </c>
      <c r="DE56" s="2">
        <v>3602.58</v>
      </c>
      <c r="DF56" s="2">
        <v>3618.57</v>
      </c>
      <c r="DG56" s="2">
        <v>3625.13</v>
      </c>
      <c r="DH56" s="2">
        <v>3628.94</v>
      </c>
      <c r="DI56" s="2">
        <v>3644.42</v>
      </c>
      <c r="DJ56" s="2">
        <v>3642.01</v>
      </c>
      <c r="DK56" s="2">
        <v>3646.52</v>
      </c>
      <c r="DL56" s="2">
        <v>3656.6</v>
      </c>
      <c r="DM56" s="2">
        <v>3667.64</v>
      </c>
      <c r="DN56" s="2">
        <v>3679.02</v>
      </c>
      <c r="DO56" s="2">
        <v>3688.83</v>
      </c>
      <c r="DP56" s="2">
        <v>3691.75</v>
      </c>
      <c r="DQ56" s="2">
        <v>3689.82</v>
      </c>
      <c r="DR56" s="2">
        <v>3677.29</v>
      </c>
      <c r="DS56" s="2">
        <v>3658.58</v>
      </c>
      <c r="DT56" s="2">
        <v>3631.37</v>
      </c>
      <c r="DU56" s="2">
        <v>3650.74</v>
      </c>
      <c r="DV56" s="2">
        <v>3660</v>
      </c>
      <c r="DW56" s="2">
        <v>3690.81</v>
      </c>
      <c r="DX56" s="2">
        <v>3668.17</v>
      </c>
      <c r="DY56" s="2">
        <v>3687.97</v>
      </c>
      <c r="DZ56" s="2">
        <v>3711.57</v>
      </c>
      <c r="EA56" s="2">
        <v>3673.47</v>
      </c>
      <c r="EB56" s="2">
        <v>3678.15</v>
      </c>
      <c r="EC56" s="2">
        <v>3685.58</v>
      </c>
      <c r="ED56" s="2">
        <v>3672.11</v>
      </c>
      <c r="EE56" s="2">
        <v>3676.2</v>
      </c>
      <c r="EF56" s="2">
        <v>3682.3</v>
      </c>
      <c r="EG56" s="2">
        <v>3687.53</v>
      </c>
      <c r="EH56" s="2">
        <v>3670.26</v>
      </c>
      <c r="EI56" s="2">
        <v>3666.12</v>
      </c>
      <c r="EJ56" s="2">
        <v>3674.44</v>
      </c>
      <c r="EK56" s="2">
        <v>3685.41</v>
      </c>
      <c r="EL56" s="2">
        <v>3706.8</v>
      </c>
      <c r="EM56" s="2">
        <v>3708.09</v>
      </c>
      <c r="EN56" s="2">
        <v>3701.46</v>
      </c>
      <c r="EO56" s="2">
        <v>3676.8</v>
      </c>
      <c r="EP56" s="2">
        <v>3689.6</v>
      </c>
      <c r="EQ56" s="2">
        <v>3701.83</v>
      </c>
      <c r="ER56" s="2">
        <v>3683.29</v>
      </c>
      <c r="ES56" s="2">
        <v>3680.8</v>
      </c>
      <c r="ET56" s="2">
        <v>3693.37</v>
      </c>
      <c r="EU56" s="2">
        <v>3692.84</v>
      </c>
      <c r="EV56" s="2">
        <v>3696.98</v>
      </c>
      <c r="EW56" s="2">
        <v>3694.26</v>
      </c>
      <c r="EX56" s="2">
        <v>3691.68</v>
      </c>
      <c r="EY56" s="2">
        <v>3687.87</v>
      </c>
      <c r="EZ56" s="2">
        <v>3677.79</v>
      </c>
      <c r="FA56" s="2">
        <v>3680.25</v>
      </c>
      <c r="FB56" s="2">
        <v>3685.12</v>
      </c>
      <c r="FC56" s="2">
        <v>3683.26</v>
      </c>
      <c r="FD56" s="2">
        <v>3685.29</v>
      </c>
      <c r="FE56" s="2">
        <v>3666.38</v>
      </c>
      <c r="FF56" s="2">
        <v>3660.28</v>
      </c>
      <c r="FG56" s="2">
        <v>3671.9</v>
      </c>
      <c r="FH56" s="2">
        <v>3695.77</v>
      </c>
      <c r="FI56" s="2">
        <v>3697.12</v>
      </c>
      <c r="FJ56" s="2">
        <v>3696.59</v>
      </c>
      <c r="FK56" s="2">
        <v>3699.51</v>
      </c>
      <c r="FL56" s="2">
        <v>3714.1</v>
      </c>
      <c r="FM56" s="2">
        <v>3743.9</v>
      </c>
      <c r="FN56" s="2">
        <v>3718.57</v>
      </c>
      <c r="FO56" s="2">
        <v>3720.54</v>
      </c>
      <c r="FP56" s="2">
        <v>3729.15</v>
      </c>
      <c r="FQ56" s="2">
        <v>3718.27</v>
      </c>
      <c r="FR56" s="2">
        <v>3767.6</v>
      </c>
      <c r="FS56" s="2">
        <v>3786.9</v>
      </c>
      <c r="FT56" s="2">
        <v>3788.96</v>
      </c>
      <c r="FU56" s="2">
        <v>3778.45</v>
      </c>
      <c r="FV56" s="2">
        <v>3764.39</v>
      </c>
      <c r="FW56" s="2">
        <v>3765.45</v>
      </c>
      <c r="FX56" s="2">
        <v>3767.21</v>
      </c>
      <c r="FY56" s="2">
        <v>3776.59</v>
      </c>
      <c r="FZ56" s="2">
        <v>3793.57</v>
      </c>
      <c r="GA56" s="2">
        <v>3810.81</v>
      </c>
      <c r="GB56" s="2">
        <v>3809.49</v>
      </c>
      <c r="GC56" s="2">
        <v>3799.94</v>
      </c>
      <c r="GD56" s="2">
        <v>3804.71</v>
      </c>
      <c r="GE56" s="2">
        <v>3801.26</v>
      </c>
      <c r="GF56" s="2">
        <v>3775.27</v>
      </c>
      <c r="GG56" s="2">
        <v>3786.41</v>
      </c>
      <c r="GH56" s="2">
        <v>3790.45</v>
      </c>
      <c r="GI56" s="2">
        <v>3813.53</v>
      </c>
      <c r="GJ56" s="2">
        <v>3838.2</v>
      </c>
      <c r="GK56" s="2">
        <v>3834.48</v>
      </c>
      <c r="GL56" s="2">
        <v>3856.66</v>
      </c>
      <c r="GM56" s="2">
        <v>3856.07</v>
      </c>
      <c r="GN56" s="2">
        <v>3880.86</v>
      </c>
      <c r="GO56" s="2">
        <v>3889.35</v>
      </c>
      <c r="GP56" s="2">
        <v>3897.57</v>
      </c>
      <c r="GQ56" s="2">
        <v>3868.39</v>
      </c>
      <c r="GR56" s="2">
        <v>3867.76</v>
      </c>
      <c r="GS56" s="2">
        <v>3886.37</v>
      </c>
      <c r="GT56" s="2">
        <v>3885.84</v>
      </c>
      <c r="GU56" s="2">
        <v>3894.86</v>
      </c>
      <c r="GV56" s="2">
        <v>3904.41</v>
      </c>
      <c r="GW56" s="2">
        <v>3908.38</v>
      </c>
      <c r="GX56" s="2">
        <v>3908.28</v>
      </c>
      <c r="GY56" s="2">
        <v>3879.94</v>
      </c>
      <c r="GZ56" s="2">
        <v>3885.51</v>
      </c>
      <c r="HA56" s="2">
        <v>3888.33</v>
      </c>
      <c r="HB56" s="2">
        <v>3896.82</v>
      </c>
      <c r="HC56" s="2">
        <v>3898.14</v>
      </c>
      <c r="HD56" s="2">
        <v>3895.65</v>
      </c>
      <c r="HE56" s="2">
        <v>3903.39</v>
      </c>
      <c r="HF56" s="2">
        <v>3904.67</v>
      </c>
      <c r="HG56" s="2">
        <v>3896.76</v>
      </c>
      <c r="HH56" s="2">
        <v>3900.78</v>
      </c>
      <c r="HI56" s="2">
        <v>3900.47</v>
      </c>
      <c r="HJ56" s="2">
        <v>3898.08</v>
      </c>
      <c r="HK56" s="2">
        <v>3906.04</v>
      </c>
      <c r="HL56" s="2">
        <v>3910.08</v>
      </c>
      <c r="HM56" s="2">
        <v>3905.57</v>
      </c>
      <c r="HN56" s="2">
        <v>3921.81</v>
      </c>
      <c r="HO56" s="2">
        <v>3917.99</v>
      </c>
      <c r="HP56" s="2">
        <v>3919.58</v>
      </c>
      <c r="HQ56" s="2">
        <v>3922.5</v>
      </c>
      <c r="HR56" s="2">
        <v>3934.12</v>
      </c>
      <c r="HS56" s="2">
        <v>3872.22</v>
      </c>
      <c r="HT56" s="2">
        <v>3824.71</v>
      </c>
      <c r="HU56" s="2">
        <v>3802.94</v>
      </c>
      <c r="HV56" s="2">
        <v>3806.1</v>
      </c>
      <c r="HW56" s="2">
        <v>3806.4</v>
      </c>
      <c r="HX56" s="2">
        <v>3825.2</v>
      </c>
      <c r="HY56" s="2">
        <v>3837.87</v>
      </c>
      <c r="HZ56" s="2">
        <v>3834.95</v>
      </c>
      <c r="IA56" s="2">
        <v>3841.95</v>
      </c>
      <c r="IB56" s="2">
        <v>3844.97</v>
      </c>
      <c r="IC56" s="2">
        <v>3861.48</v>
      </c>
      <c r="ID56" s="2">
        <v>3883.25</v>
      </c>
      <c r="IE56" s="2">
        <v>3906.32</v>
      </c>
      <c r="IF56" s="2">
        <v>3919.31</v>
      </c>
      <c r="IG56" s="2">
        <v>3898.31</v>
      </c>
      <c r="IH56" s="2">
        <v>3908.38</v>
      </c>
      <c r="II56" s="2">
        <v>3908.65</v>
      </c>
      <c r="IJ56" s="2">
        <v>3917.46</v>
      </c>
      <c r="IK56" s="2">
        <v>3906.32</v>
      </c>
      <c r="IL56" s="2">
        <v>3894.65</v>
      </c>
      <c r="IM56" s="2">
        <v>3891.47</v>
      </c>
      <c r="IN56" s="2">
        <v>3826.75</v>
      </c>
      <c r="IO56" s="2">
        <v>3842.67</v>
      </c>
      <c r="IP56" s="2">
        <v>3789.39</v>
      </c>
      <c r="IQ56" s="2">
        <v>3785.15</v>
      </c>
      <c r="IR56" s="2">
        <v>3810.77</v>
      </c>
    </row>
    <row r="57" spans="1:252" ht="23.25" customHeight="1" x14ac:dyDescent="0.3">
      <c r="A57" s="4" t="s">
        <v>298</v>
      </c>
      <c r="B57" s="4">
        <v>23</v>
      </c>
      <c r="C57" s="4" t="s">
        <v>350</v>
      </c>
      <c r="D57" s="3" t="s">
        <v>300</v>
      </c>
      <c r="E57" s="3" t="s">
        <v>301</v>
      </c>
      <c r="F57" s="2">
        <v>395.59</v>
      </c>
      <c r="G57" s="2">
        <v>400</v>
      </c>
      <c r="H57" s="2">
        <v>397.71</v>
      </c>
      <c r="I57" s="2">
        <v>394.77</v>
      </c>
      <c r="J57" s="2">
        <v>393.98</v>
      </c>
      <c r="K57" s="2">
        <v>394.07</v>
      </c>
      <c r="L57" s="2">
        <v>395.7</v>
      </c>
      <c r="M57" s="2">
        <v>395.72</v>
      </c>
      <c r="N57" s="2">
        <v>395.48</v>
      </c>
      <c r="O57" s="2">
        <v>394.91</v>
      </c>
      <c r="P57" s="2">
        <v>392.94</v>
      </c>
      <c r="Q57" s="2">
        <v>392.35</v>
      </c>
      <c r="R57" s="2">
        <v>393.11</v>
      </c>
      <c r="S57" s="2">
        <v>392.21</v>
      </c>
      <c r="T57" s="2">
        <v>391.88</v>
      </c>
      <c r="U57" s="2">
        <v>390.44</v>
      </c>
      <c r="V57" s="2">
        <v>389.12</v>
      </c>
      <c r="W57" s="2">
        <v>389.53</v>
      </c>
      <c r="X57" s="2">
        <v>389.85</v>
      </c>
      <c r="Y57" s="2">
        <v>391.97</v>
      </c>
      <c r="Z57" s="2">
        <v>397.18</v>
      </c>
      <c r="AA57" s="2">
        <v>397.41</v>
      </c>
      <c r="AB57" s="2">
        <v>396.44</v>
      </c>
      <c r="AC57" s="2">
        <v>392.51</v>
      </c>
      <c r="AD57" s="2">
        <v>393.81</v>
      </c>
      <c r="AE57" s="2">
        <v>395.2</v>
      </c>
      <c r="AF57" s="2">
        <v>396.95</v>
      </c>
      <c r="AG57" s="2">
        <v>395.34</v>
      </c>
      <c r="AH57" s="2">
        <v>395.31</v>
      </c>
      <c r="AI57" s="2">
        <v>396.11</v>
      </c>
      <c r="AJ57" s="2">
        <v>394.25</v>
      </c>
      <c r="AK57" s="2">
        <v>394</v>
      </c>
      <c r="AL57" s="2">
        <v>395.39</v>
      </c>
      <c r="AM57" s="2">
        <v>397.27</v>
      </c>
      <c r="AN57" s="2">
        <v>399.37</v>
      </c>
      <c r="AO57" s="2">
        <v>399.37</v>
      </c>
      <c r="AP57" s="2">
        <v>400.1</v>
      </c>
      <c r="AQ57" s="2">
        <v>398.93</v>
      </c>
      <c r="AR57" s="2">
        <v>399.34</v>
      </c>
      <c r="AS57" s="2">
        <v>399.26</v>
      </c>
      <c r="AT57" s="2">
        <v>400.38</v>
      </c>
      <c r="AU57" s="2">
        <v>400.69</v>
      </c>
      <c r="AV57" s="2">
        <v>399.61</v>
      </c>
      <c r="AW57" s="2">
        <v>399.4</v>
      </c>
      <c r="AX57" s="2">
        <v>391.85</v>
      </c>
      <c r="AY57" s="2">
        <v>399.1</v>
      </c>
      <c r="AZ57" s="2">
        <v>400.27</v>
      </c>
      <c r="BA57" s="2">
        <v>403.72</v>
      </c>
      <c r="BB57" s="2">
        <v>397.08</v>
      </c>
      <c r="BC57" s="2">
        <v>394.99</v>
      </c>
      <c r="BD57" s="2">
        <v>388.61</v>
      </c>
      <c r="BE57" s="2">
        <v>387.5</v>
      </c>
      <c r="BF57" s="2">
        <v>388.61</v>
      </c>
      <c r="BG57" s="2">
        <v>386.57</v>
      </c>
      <c r="BH57" s="2">
        <v>387.05</v>
      </c>
      <c r="BI57" s="2">
        <v>386.3</v>
      </c>
      <c r="BJ57" s="2">
        <v>387.31</v>
      </c>
      <c r="BK57" s="2">
        <v>388.39</v>
      </c>
      <c r="BL57" s="2">
        <v>389.38</v>
      </c>
      <c r="BM57" s="2">
        <v>390.57</v>
      </c>
      <c r="BN57" s="2">
        <v>391.85</v>
      </c>
      <c r="BO57" s="2">
        <v>391.63</v>
      </c>
      <c r="BP57" s="2">
        <v>388.48</v>
      </c>
      <c r="BQ57" s="2">
        <v>388.4</v>
      </c>
      <c r="BR57" s="2">
        <v>379.54</v>
      </c>
      <c r="BS57" s="2">
        <v>380.08</v>
      </c>
      <c r="BT57" s="2">
        <v>382.68</v>
      </c>
      <c r="BU57" s="2">
        <v>381.26</v>
      </c>
      <c r="BV57" s="2">
        <v>384.88</v>
      </c>
      <c r="BW57" s="2">
        <v>385.46</v>
      </c>
      <c r="BX57" s="2">
        <v>381.05</v>
      </c>
      <c r="BY57" s="2">
        <v>379.64</v>
      </c>
      <c r="BZ57" s="2">
        <v>380.63</v>
      </c>
      <c r="CA57" s="2">
        <v>379.14</v>
      </c>
      <c r="CB57" s="2">
        <v>377.64</v>
      </c>
      <c r="CC57" s="2">
        <v>375.27</v>
      </c>
      <c r="CD57" s="2">
        <v>374.87</v>
      </c>
      <c r="CE57" s="2">
        <v>371.62</v>
      </c>
      <c r="CF57" s="2">
        <v>372.53</v>
      </c>
      <c r="CG57" s="2">
        <v>374.29</v>
      </c>
      <c r="CH57" s="2">
        <v>376.14</v>
      </c>
      <c r="CI57" s="2">
        <v>374.58</v>
      </c>
      <c r="CJ57" s="2">
        <v>374.91</v>
      </c>
      <c r="CK57" s="2">
        <v>374.07</v>
      </c>
      <c r="CL57" s="2">
        <v>370</v>
      </c>
      <c r="CM57" s="2">
        <v>370.03</v>
      </c>
      <c r="CN57" s="2">
        <v>370.28</v>
      </c>
      <c r="CO57" s="2">
        <v>372.71</v>
      </c>
      <c r="CP57" s="2">
        <v>371.1</v>
      </c>
      <c r="CQ57" s="2">
        <v>372.12</v>
      </c>
      <c r="CR57" s="2">
        <v>371.29</v>
      </c>
      <c r="CS57" s="2">
        <v>370.77</v>
      </c>
      <c r="CT57" s="2">
        <v>373.92</v>
      </c>
      <c r="CU57" s="2">
        <v>375.66</v>
      </c>
      <c r="CV57" s="2">
        <v>372.89</v>
      </c>
      <c r="CW57" s="2">
        <v>376.28</v>
      </c>
      <c r="CX57" s="2">
        <v>371.68</v>
      </c>
      <c r="CY57" s="2">
        <v>370.57</v>
      </c>
      <c r="CZ57" s="2">
        <v>369.66</v>
      </c>
      <c r="DA57" s="2">
        <v>369.33</v>
      </c>
      <c r="DB57" s="2">
        <v>368.57</v>
      </c>
      <c r="DC57" s="2">
        <v>368.29</v>
      </c>
      <c r="DD57" s="2">
        <v>370.15</v>
      </c>
      <c r="DE57" s="2">
        <v>369.8</v>
      </c>
      <c r="DF57" s="2">
        <v>371.39</v>
      </c>
      <c r="DG57" s="2">
        <v>372.11</v>
      </c>
      <c r="DH57" s="2">
        <v>372.49</v>
      </c>
      <c r="DI57" s="2">
        <v>374.07</v>
      </c>
      <c r="DJ57" s="2">
        <v>373.85</v>
      </c>
      <c r="DK57" s="2">
        <v>374.26</v>
      </c>
      <c r="DL57" s="2">
        <v>375.35</v>
      </c>
      <c r="DM57" s="2">
        <v>376.49</v>
      </c>
      <c r="DN57" s="2">
        <v>377.69</v>
      </c>
      <c r="DO57" s="2">
        <v>378.66</v>
      </c>
      <c r="DP57" s="2">
        <v>378.95</v>
      </c>
      <c r="DQ57" s="2">
        <v>378.78</v>
      </c>
      <c r="DR57" s="2">
        <v>377.47</v>
      </c>
      <c r="DS57" s="2">
        <v>375.51</v>
      </c>
      <c r="DT57" s="2">
        <v>372.68</v>
      </c>
      <c r="DU57" s="2">
        <v>374.62</v>
      </c>
      <c r="DV57" s="2">
        <v>375.65</v>
      </c>
      <c r="DW57" s="2">
        <v>378.86</v>
      </c>
      <c r="DX57" s="2">
        <v>376.55</v>
      </c>
      <c r="DY57" s="2">
        <v>378.59</v>
      </c>
      <c r="DZ57" s="2">
        <v>380.96</v>
      </c>
      <c r="EA57" s="2">
        <v>377.09</v>
      </c>
      <c r="EB57" s="2">
        <v>377.58</v>
      </c>
      <c r="EC57" s="2">
        <v>378.34</v>
      </c>
      <c r="ED57" s="2">
        <v>376.9</v>
      </c>
      <c r="EE57" s="2">
        <v>377.34</v>
      </c>
      <c r="EF57" s="2">
        <v>378.02</v>
      </c>
      <c r="EG57" s="2">
        <v>378.53</v>
      </c>
      <c r="EH57" s="2">
        <v>376.79</v>
      </c>
      <c r="EI57" s="2">
        <v>376.31</v>
      </c>
      <c r="EJ57" s="2">
        <v>377.2</v>
      </c>
      <c r="EK57" s="2">
        <v>378.32</v>
      </c>
      <c r="EL57" s="2">
        <v>380.52</v>
      </c>
      <c r="EM57" s="2">
        <v>380.66</v>
      </c>
      <c r="EN57" s="2">
        <v>380</v>
      </c>
      <c r="EO57" s="2">
        <v>377.48</v>
      </c>
      <c r="EP57" s="2">
        <v>378.77</v>
      </c>
      <c r="EQ57" s="2">
        <v>380.03</v>
      </c>
      <c r="ER57" s="2">
        <v>378.05</v>
      </c>
      <c r="ES57" s="2">
        <v>377.85</v>
      </c>
      <c r="ET57" s="2">
        <v>379.09</v>
      </c>
      <c r="EU57" s="2">
        <v>379.08</v>
      </c>
      <c r="EV57" s="2">
        <v>379.51</v>
      </c>
      <c r="EW57" s="2">
        <v>379.21</v>
      </c>
      <c r="EX57" s="2">
        <v>378.96</v>
      </c>
      <c r="EY57" s="2">
        <v>378.59</v>
      </c>
      <c r="EZ57" s="2">
        <v>377.55</v>
      </c>
      <c r="FA57" s="2">
        <v>377.82</v>
      </c>
      <c r="FB57" s="2">
        <v>378.32</v>
      </c>
      <c r="FC57" s="2">
        <v>378.08</v>
      </c>
      <c r="FD57" s="2">
        <v>378.34</v>
      </c>
      <c r="FE57" s="2">
        <v>376.38</v>
      </c>
      <c r="FF57" s="2">
        <v>375.76</v>
      </c>
      <c r="FG57" s="2">
        <v>376.96</v>
      </c>
      <c r="FH57" s="2">
        <v>379.42</v>
      </c>
      <c r="FI57" s="2">
        <v>379.57</v>
      </c>
      <c r="FJ57" s="2">
        <v>379.51</v>
      </c>
      <c r="FK57" s="2">
        <v>379.81</v>
      </c>
      <c r="FL57" s="2">
        <v>381.31</v>
      </c>
      <c r="FM57" s="2">
        <v>384.35</v>
      </c>
      <c r="FN57" s="2">
        <v>381.81</v>
      </c>
      <c r="FO57" s="2">
        <v>382.07</v>
      </c>
      <c r="FP57" s="2">
        <v>382.84</v>
      </c>
      <c r="FQ57" s="2">
        <v>381.72</v>
      </c>
      <c r="FR57" s="2">
        <v>386.78</v>
      </c>
      <c r="FS57" s="2">
        <v>388.7</v>
      </c>
      <c r="FT57" s="2">
        <v>388.96</v>
      </c>
      <c r="FU57" s="2">
        <v>387.85</v>
      </c>
      <c r="FV57" s="2">
        <v>386.4</v>
      </c>
      <c r="FW57" s="2">
        <v>386.51</v>
      </c>
      <c r="FX57" s="2">
        <v>386.7</v>
      </c>
      <c r="FY57" s="2">
        <v>387.65</v>
      </c>
      <c r="FZ57" s="2">
        <v>389.4</v>
      </c>
      <c r="GA57" s="2">
        <v>391.12</v>
      </c>
      <c r="GB57" s="2">
        <v>391.04</v>
      </c>
      <c r="GC57" s="2">
        <v>390.01</v>
      </c>
      <c r="GD57" s="2">
        <v>390.54</v>
      </c>
      <c r="GE57" s="2">
        <v>390.19</v>
      </c>
      <c r="GF57" s="2">
        <v>387.48</v>
      </c>
      <c r="GG57" s="2">
        <v>388.66</v>
      </c>
      <c r="GH57" s="2">
        <v>389.11</v>
      </c>
      <c r="GI57" s="2">
        <v>391.47</v>
      </c>
      <c r="GJ57" s="2">
        <v>394.01</v>
      </c>
      <c r="GK57" s="2">
        <v>393.62</v>
      </c>
      <c r="GL57" s="2">
        <v>395.88</v>
      </c>
      <c r="GM57" s="2">
        <v>395.83</v>
      </c>
      <c r="GN57" s="2">
        <v>398.37</v>
      </c>
      <c r="GO57" s="2">
        <v>399.28</v>
      </c>
      <c r="GP57" s="2">
        <v>400.14</v>
      </c>
      <c r="GQ57" s="2">
        <v>397.12</v>
      </c>
      <c r="GR57" s="2">
        <v>397.08</v>
      </c>
      <c r="GS57" s="2">
        <v>398.92</v>
      </c>
      <c r="GT57" s="2">
        <v>398.91</v>
      </c>
      <c r="GU57" s="2">
        <v>399.79</v>
      </c>
      <c r="GV57" s="2">
        <v>400.82</v>
      </c>
      <c r="GW57" s="2">
        <v>401.21</v>
      </c>
      <c r="GX57" s="2">
        <v>401.21</v>
      </c>
      <c r="GY57" s="2">
        <v>398.27</v>
      </c>
      <c r="GZ57" s="2">
        <v>398.82</v>
      </c>
      <c r="HA57" s="2">
        <v>399.15</v>
      </c>
      <c r="HB57" s="2">
        <v>400.02</v>
      </c>
      <c r="HC57" s="2">
        <v>400.15</v>
      </c>
      <c r="HD57" s="2">
        <v>399.91</v>
      </c>
      <c r="HE57" s="2">
        <v>400.67</v>
      </c>
      <c r="HF57" s="2">
        <v>400.82</v>
      </c>
      <c r="HG57" s="2">
        <v>399.93</v>
      </c>
      <c r="HH57" s="2">
        <v>400.39</v>
      </c>
      <c r="HI57" s="2">
        <v>400.38</v>
      </c>
      <c r="HJ57" s="2">
        <v>400.13</v>
      </c>
      <c r="HK57" s="2">
        <v>400.93</v>
      </c>
      <c r="HL57" s="2">
        <v>401.38</v>
      </c>
      <c r="HM57" s="2">
        <v>400.91</v>
      </c>
      <c r="HN57" s="2">
        <v>402.6</v>
      </c>
      <c r="HO57" s="2">
        <v>402.19</v>
      </c>
      <c r="HP57" s="2">
        <v>402.39</v>
      </c>
      <c r="HQ57" s="2">
        <v>402.68</v>
      </c>
      <c r="HR57" s="2">
        <v>403.91</v>
      </c>
      <c r="HS57" s="2">
        <v>397.68</v>
      </c>
      <c r="HT57" s="2">
        <v>392.68</v>
      </c>
      <c r="HU57" s="2">
        <v>390.44</v>
      </c>
      <c r="HV57" s="2">
        <v>390.67</v>
      </c>
      <c r="HW57" s="2">
        <v>390.68</v>
      </c>
      <c r="HX57" s="2">
        <v>392.65</v>
      </c>
      <c r="HY57" s="2">
        <v>393.96</v>
      </c>
      <c r="HZ57" s="2">
        <v>393.64</v>
      </c>
      <c r="IA57" s="2">
        <v>394.35</v>
      </c>
      <c r="IB57" s="2">
        <v>394.65</v>
      </c>
      <c r="IC57" s="2">
        <v>396.37</v>
      </c>
      <c r="ID57" s="2">
        <v>398.65</v>
      </c>
      <c r="IE57" s="2">
        <v>401.02</v>
      </c>
      <c r="IF57" s="2">
        <v>402.3</v>
      </c>
      <c r="IG57" s="2">
        <v>400.18</v>
      </c>
      <c r="IH57" s="2">
        <v>401.23</v>
      </c>
      <c r="II57" s="2">
        <v>401.21</v>
      </c>
      <c r="IJ57" s="2">
        <v>402.17</v>
      </c>
      <c r="IK57" s="2">
        <v>401.02</v>
      </c>
      <c r="IL57" s="2">
        <v>399.83</v>
      </c>
      <c r="IM57" s="2">
        <v>399.44</v>
      </c>
      <c r="IN57" s="2">
        <v>392.86</v>
      </c>
      <c r="IO57" s="2">
        <v>394.5</v>
      </c>
      <c r="IP57" s="2">
        <v>388.95</v>
      </c>
      <c r="IQ57" s="2">
        <v>388.55</v>
      </c>
      <c r="IR57" s="2">
        <v>391.2</v>
      </c>
    </row>
    <row r="58" spans="1:252" ht="23.25" customHeight="1" x14ac:dyDescent="0.3">
      <c r="A58" s="4" t="s">
        <v>298</v>
      </c>
      <c r="B58" s="4">
        <v>50</v>
      </c>
      <c r="C58" s="4" t="s">
        <v>351</v>
      </c>
      <c r="D58" s="3" t="s">
        <v>300</v>
      </c>
      <c r="E58" s="3" t="s">
        <v>301</v>
      </c>
      <c r="F58" s="2">
        <v>40.479999999999997</v>
      </c>
      <c r="G58" s="2">
        <v>40.83</v>
      </c>
      <c r="H58" s="2">
        <v>40.61</v>
      </c>
      <c r="I58" s="2">
        <v>40.369999999999997</v>
      </c>
      <c r="J58" s="2">
        <v>40.229999999999997</v>
      </c>
      <c r="K58" s="2">
        <v>40.22</v>
      </c>
      <c r="L58" s="2">
        <v>40.369999999999997</v>
      </c>
      <c r="M58" s="2">
        <v>40.35</v>
      </c>
      <c r="N58" s="2">
        <v>40.21</v>
      </c>
      <c r="O58" s="2">
        <v>40.07</v>
      </c>
      <c r="P58" s="2">
        <v>39.85</v>
      </c>
      <c r="Q58" s="2">
        <v>39.76</v>
      </c>
      <c r="R58" s="2">
        <v>39.78</v>
      </c>
      <c r="S58" s="2">
        <v>39.67</v>
      </c>
      <c r="T58" s="2">
        <v>39.54</v>
      </c>
      <c r="U58" s="2">
        <v>39.35</v>
      </c>
      <c r="V58" s="2">
        <v>39.19</v>
      </c>
      <c r="W58" s="2">
        <v>39.229999999999997</v>
      </c>
      <c r="X58" s="2">
        <v>39.270000000000003</v>
      </c>
      <c r="Y58" s="2">
        <v>39.409999999999997</v>
      </c>
      <c r="Z58" s="2">
        <v>39.99</v>
      </c>
      <c r="AA58" s="2">
        <v>40.03</v>
      </c>
      <c r="AB58" s="2">
        <v>39.93</v>
      </c>
      <c r="AC58" s="2">
        <v>39.479999999999997</v>
      </c>
      <c r="AD58" s="2">
        <v>39.619999999999997</v>
      </c>
      <c r="AE58" s="2">
        <v>39.69</v>
      </c>
      <c r="AF58" s="2">
        <v>39.83</v>
      </c>
      <c r="AG58" s="2">
        <v>39.69</v>
      </c>
      <c r="AH58" s="2">
        <v>39.58</v>
      </c>
      <c r="AI58" s="2">
        <v>39.68</v>
      </c>
      <c r="AJ58" s="2">
        <v>39.51</v>
      </c>
      <c r="AK58" s="2">
        <v>39.43</v>
      </c>
      <c r="AL58" s="2">
        <v>38.22</v>
      </c>
      <c r="AM58" s="2">
        <v>38.4</v>
      </c>
      <c r="AN58" s="2">
        <v>38.6</v>
      </c>
      <c r="AO58" s="2">
        <v>38.61</v>
      </c>
      <c r="AP58" s="2">
        <v>38.68</v>
      </c>
      <c r="AQ58" s="2">
        <v>38.53</v>
      </c>
      <c r="AR58" s="2">
        <v>38.56</v>
      </c>
      <c r="AS58" s="2">
        <v>38.61</v>
      </c>
      <c r="AT58" s="2">
        <v>38.75</v>
      </c>
      <c r="AU58" s="2">
        <v>38.78</v>
      </c>
      <c r="AV58" s="2">
        <v>38.78</v>
      </c>
      <c r="AW58" s="2">
        <v>38.6</v>
      </c>
      <c r="AX58" s="2">
        <v>37.869999999999997</v>
      </c>
      <c r="AY58" s="2">
        <v>38.57</v>
      </c>
      <c r="AZ58" s="2">
        <v>38.71</v>
      </c>
      <c r="BA58" s="2">
        <v>39.06</v>
      </c>
      <c r="BB58" s="2">
        <v>38.340000000000003</v>
      </c>
      <c r="BC58" s="2">
        <v>38.22</v>
      </c>
      <c r="BD58" s="2">
        <v>37.520000000000003</v>
      </c>
      <c r="BE58" s="2">
        <v>37.33</v>
      </c>
      <c r="BF58" s="2">
        <v>37.409999999999997</v>
      </c>
      <c r="BG58" s="2">
        <v>37.340000000000003</v>
      </c>
      <c r="BH58" s="2">
        <v>37.29</v>
      </c>
      <c r="BI58" s="2">
        <v>37.11</v>
      </c>
      <c r="BJ58" s="2">
        <v>37.159999999999997</v>
      </c>
      <c r="BK58" s="2">
        <v>37.22</v>
      </c>
      <c r="BL58" s="2">
        <v>37.22</v>
      </c>
      <c r="BM58" s="2">
        <v>37.32</v>
      </c>
      <c r="BN58" s="2">
        <v>37.44</v>
      </c>
      <c r="BO58" s="2">
        <v>37.36</v>
      </c>
      <c r="BP58" s="2">
        <v>36.99</v>
      </c>
      <c r="BQ58" s="2">
        <v>36.92</v>
      </c>
      <c r="BR58" s="2">
        <v>36.07</v>
      </c>
      <c r="BS58" s="2">
        <v>36.049999999999997</v>
      </c>
      <c r="BT58" s="2">
        <v>36.28</v>
      </c>
      <c r="BU58" s="2">
        <v>36.1</v>
      </c>
      <c r="BV58" s="2">
        <v>36.44</v>
      </c>
      <c r="BW58" s="2">
        <v>36.520000000000003</v>
      </c>
      <c r="BX58" s="2">
        <v>36.049999999999997</v>
      </c>
      <c r="BY58" s="2">
        <v>35.880000000000003</v>
      </c>
      <c r="BZ58" s="2">
        <v>35.979999999999997</v>
      </c>
      <c r="CA58" s="2">
        <v>35.86</v>
      </c>
      <c r="CB58" s="2">
        <v>35.72</v>
      </c>
      <c r="CC58" s="2">
        <v>35.31</v>
      </c>
      <c r="CD58" s="2">
        <v>35.299999999999997</v>
      </c>
      <c r="CE58" s="2">
        <v>34.99</v>
      </c>
      <c r="CF58" s="2">
        <v>35.020000000000003</v>
      </c>
      <c r="CG58" s="2">
        <v>35.14</v>
      </c>
      <c r="CH58" s="2">
        <v>35.21</v>
      </c>
      <c r="CI58" s="2">
        <v>35.04</v>
      </c>
      <c r="CJ58" s="2">
        <v>35.17</v>
      </c>
      <c r="CK58" s="2">
        <v>34.97</v>
      </c>
      <c r="CL58" s="2">
        <v>34.630000000000003</v>
      </c>
      <c r="CM58" s="2">
        <v>34.56</v>
      </c>
      <c r="CN58" s="2">
        <v>34.69</v>
      </c>
      <c r="CO58" s="2">
        <v>34.94</v>
      </c>
      <c r="CP58" s="2">
        <v>34.590000000000003</v>
      </c>
      <c r="CQ58" s="2">
        <v>34.659999999999997</v>
      </c>
      <c r="CR58" s="2">
        <v>34.619999999999997</v>
      </c>
      <c r="CS58" s="2">
        <v>34.450000000000003</v>
      </c>
      <c r="CT58" s="2">
        <v>34.729999999999997</v>
      </c>
      <c r="CU58" s="2">
        <v>34.78</v>
      </c>
      <c r="CV58" s="2">
        <v>34.47</v>
      </c>
      <c r="CW58" s="2">
        <v>34.83</v>
      </c>
      <c r="CX58" s="2">
        <v>34.47</v>
      </c>
      <c r="CY58" s="2">
        <v>34.229999999999997</v>
      </c>
      <c r="CZ58" s="2">
        <v>34.090000000000003</v>
      </c>
      <c r="DA58" s="2">
        <v>34</v>
      </c>
      <c r="DB58" s="2">
        <v>33.979999999999997</v>
      </c>
      <c r="DC58" s="2">
        <v>33.950000000000003</v>
      </c>
      <c r="DD58" s="2">
        <v>34.06</v>
      </c>
      <c r="DE58" s="2">
        <v>34.1</v>
      </c>
      <c r="DF58" s="2">
        <v>34.14</v>
      </c>
      <c r="DG58" s="2">
        <v>34.159999999999997</v>
      </c>
      <c r="DH58" s="2">
        <v>34.159999999999997</v>
      </c>
      <c r="DI58" s="2">
        <v>34.299999999999997</v>
      </c>
      <c r="DJ58" s="2">
        <v>34.19</v>
      </c>
      <c r="DK58" s="2">
        <v>34.19</v>
      </c>
      <c r="DL58" s="2">
        <v>34.270000000000003</v>
      </c>
      <c r="DM58" s="2">
        <v>34.35</v>
      </c>
      <c r="DN58" s="2">
        <v>34.46</v>
      </c>
      <c r="DO58" s="2">
        <v>34.479999999999997</v>
      </c>
      <c r="DP58" s="2">
        <v>34.450000000000003</v>
      </c>
      <c r="DQ58" s="2">
        <v>34.42</v>
      </c>
      <c r="DR58" s="2">
        <v>34.28</v>
      </c>
      <c r="DS58" s="2">
        <v>34.090000000000003</v>
      </c>
      <c r="DT58" s="2">
        <v>33.75</v>
      </c>
      <c r="DU58" s="2">
        <v>33.94</v>
      </c>
      <c r="DV58" s="2">
        <v>34.01</v>
      </c>
      <c r="DW58" s="2">
        <v>34.29</v>
      </c>
      <c r="DX58" s="2">
        <v>34.07</v>
      </c>
      <c r="DY58" s="2">
        <v>34.18</v>
      </c>
      <c r="DZ58" s="2">
        <v>34.39</v>
      </c>
      <c r="EA58" s="2">
        <v>34.04</v>
      </c>
      <c r="EB58" s="2">
        <v>34.090000000000003</v>
      </c>
      <c r="EC58" s="2">
        <v>34.17</v>
      </c>
      <c r="ED58" s="2">
        <v>34.020000000000003</v>
      </c>
      <c r="EE58" s="2">
        <v>34.01</v>
      </c>
      <c r="EF58" s="2">
        <v>34.1</v>
      </c>
      <c r="EG58" s="2">
        <v>34.1</v>
      </c>
      <c r="EH58" s="2">
        <v>33.93</v>
      </c>
      <c r="EI58" s="2">
        <v>33.799999999999997</v>
      </c>
      <c r="EJ58" s="2">
        <v>33.869999999999997</v>
      </c>
      <c r="EK58" s="2">
        <v>33.97</v>
      </c>
      <c r="EL58" s="2">
        <v>34.18</v>
      </c>
      <c r="EM58" s="2">
        <v>34.090000000000003</v>
      </c>
      <c r="EN58" s="2">
        <v>34.07</v>
      </c>
      <c r="EO58" s="2">
        <v>33.81</v>
      </c>
      <c r="EP58" s="2">
        <v>33.9</v>
      </c>
      <c r="EQ58" s="2">
        <v>34</v>
      </c>
      <c r="ER58" s="2">
        <v>33.75</v>
      </c>
      <c r="ES58" s="2">
        <v>33.729999999999997</v>
      </c>
      <c r="ET58" s="2">
        <v>33.840000000000003</v>
      </c>
      <c r="EU58" s="2">
        <v>33.81</v>
      </c>
      <c r="EV58" s="2">
        <v>33.86</v>
      </c>
      <c r="EW58" s="2">
        <v>33.76</v>
      </c>
      <c r="EX58" s="2">
        <v>33.729999999999997</v>
      </c>
      <c r="EY58" s="2">
        <v>33.68</v>
      </c>
      <c r="EZ58" s="2">
        <v>33.6</v>
      </c>
      <c r="FA58" s="2">
        <v>33.61</v>
      </c>
      <c r="FB58" s="2">
        <v>33.6</v>
      </c>
      <c r="FC58" s="2">
        <v>33.6</v>
      </c>
      <c r="FD58" s="2">
        <v>33.630000000000003</v>
      </c>
      <c r="FE58" s="2">
        <v>33.46</v>
      </c>
      <c r="FF58" s="2">
        <v>33.409999999999997</v>
      </c>
      <c r="FG58" s="2">
        <v>33.44</v>
      </c>
      <c r="FH58" s="2">
        <v>33.65</v>
      </c>
      <c r="FI58" s="2">
        <v>33.67</v>
      </c>
      <c r="FJ58" s="2">
        <v>33.65</v>
      </c>
      <c r="FK58" s="2">
        <v>33.630000000000003</v>
      </c>
      <c r="FL58" s="2">
        <v>33.69</v>
      </c>
      <c r="FM58" s="2">
        <v>33.950000000000003</v>
      </c>
      <c r="FN58" s="2">
        <v>33.72</v>
      </c>
      <c r="FO58" s="2">
        <v>33.74</v>
      </c>
      <c r="FP58" s="2">
        <v>33.799999999999997</v>
      </c>
      <c r="FQ58" s="2">
        <v>33.520000000000003</v>
      </c>
      <c r="FR58" s="2">
        <v>33.97</v>
      </c>
      <c r="FS58" s="2">
        <v>34.14</v>
      </c>
      <c r="FT58" s="2">
        <v>34.14</v>
      </c>
      <c r="FU58" s="2">
        <v>34.04</v>
      </c>
      <c r="FV58" s="2">
        <v>33.85</v>
      </c>
      <c r="FW58" s="2">
        <v>33.85</v>
      </c>
      <c r="FX58" s="2">
        <v>33.85</v>
      </c>
      <c r="FY58" s="2">
        <v>33.909999999999997</v>
      </c>
      <c r="FZ58" s="2">
        <v>34.07</v>
      </c>
      <c r="GA58" s="2">
        <v>34.17</v>
      </c>
      <c r="GB58" s="2">
        <v>34.18</v>
      </c>
      <c r="GC58" s="2">
        <v>34.14</v>
      </c>
      <c r="GD58" s="2">
        <v>34.18</v>
      </c>
      <c r="GE58" s="2">
        <v>34.130000000000003</v>
      </c>
      <c r="GF58" s="2">
        <v>33.86</v>
      </c>
      <c r="GG58" s="2">
        <v>33.93</v>
      </c>
      <c r="GH58" s="2">
        <v>33.96</v>
      </c>
      <c r="GI58" s="2">
        <v>34.159999999999997</v>
      </c>
      <c r="GJ58" s="2">
        <v>34.36</v>
      </c>
      <c r="GK58" s="2">
        <v>34.26</v>
      </c>
      <c r="GL58" s="2">
        <v>34.43</v>
      </c>
      <c r="GM58" s="2">
        <v>34.42</v>
      </c>
      <c r="GN58" s="2">
        <v>34.64</v>
      </c>
      <c r="GO58" s="2">
        <v>34.700000000000003</v>
      </c>
      <c r="GP58" s="2">
        <v>34.75</v>
      </c>
      <c r="GQ58" s="2">
        <v>34.46</v>
      </c>
      <c r="GR58" s="2">
        <v>34.450000000000003</v>
      </c>
      <c r="GS58" s="2">
        <v>34.61</v>
      </c>
      <c r="GT58" s="2">
        <v>34.590000000000003</v>
      </c>
      <c r="GU58" s="2">
        <v>34.6</v>
      </c>
      <c r="GV58" s="2">
        <v>34.68</v>
      </c>
      <c r="GW58" s="2">
        <v>34.71</v>
      </c>
      <c r="GX58" s="2">
        <v>34.700000000000003</v>
      </c>
      <c r="GY58" s="2">
        <v>34.47</v>
      </c>
      <c r="GZ58" s="2">
        <v>34.47</v>
      </c>
      <c r="HA58" s="2">
        <v>34.49</v>
      </c>
      <c r="HB58" s="2">
        <v>34.61</v>
      </c>
      <c r="HC58" s="2">
        <v>34.6</v>
      </c>
      <c r="HD58" s="2">
        <v>34.6</v>
      </c>
      <c r="HE58" s="2">
        <v>34.619999999999997</v>
      </c>
      <c r="HF58" s="2">
        <v>34.590000000000003</v>
      </c>
      <c r="HG58" s="2">
        <v>34.51</v>
      </c>
      <c r="HH58" s="2">
        <v>34.549999999999997</v>
      </c>
      <c r="HI58" s="2">
        <v>34.5</v>
      </c>
      <c r="HJ58" s="2">
        <v>34.46</v>
      </c>
      <c r="HK58" s="2">
        <v>34.49</v>
      </c>
      <c r="HL58" s="2">
        <v>34.520000000000003</v>
      </c>
      <c r="HM58" s="2">
        <v>34.47</v>
      </c>
      <c r="HN58" s="2">
        <v>34.6</v>
      </c>
      <c r="HO58" s="2">
        <v>34.51</v>
      </c>
      <c r="HP58" s="2">
        <v>34.53</v>
      </c>
      <c r="HQ58" s="2">
        <v>34.54</v>
      </c>
      <c r="HR58" s="2">
        <v>34.619999999999997</v>
      </c>
      <c r="HS58" s="2">
        <v>34.07</v>
      </c>
      <c r="HT58" s="2">
        <v>33.6</v>
      </c>
      <c r="HU58" s="2">
        <v>33.39</v>
      </c>
      <c r="HV58" s="2">
        <v>33.4</v>
      </c>
      <c r="HW58" s="2">
        <v>33.39</v>
      </c>
      <c r="HX58" s="2">
        <v>33.520000000000003</v>
      </c>
      <c r="HY58" s="2">
        <v>33.61</v>
      </c>
      <c r="HZ58" s="2">
        <v>33.590000000000003</v>
      </c>
      <c r="IA58" s="2">
        <v>33.65</v>
      </c>
      <c r="IB58" s="2">
        <v>33.61</v>
      </c>
      <c r="IC58" s="2">
        <v>33.74</v>
      </c>
      <c r="ID58" s="2">
        <v>33.93</v>
      </c>
      <c r="IE58" s="2">
        <v>34.119999999999997</v>
      </c>
      <c r="IF58" s="2">
        <v>34.22</v>
      </c>
      <c r="IG58" s="2">
        <v>33.96</v>
      </c>
      <c r="IH58" s="2">
        <v>34.049999999999997</v>
      </c>
      <c r="II58" s="2">
        <v>34.049999999999997</v>
      </c>
      <c r="IJ58" s="2">
        <v>34.11</v>
      </c>
      <c r="IK58" s="2">
        <v>34.01</v>
      </c>
      <c r="IL58" s="2">
        <v>33.880000000000003</v>
      </c>
      <c r="IM58" s="2">
        <v>33.81</v>
      </c>
      <c r="IN58" s="2">
        <v>33.25</v>
      </c>
      <c r="IO58" s="2">
        <v>33.369999999999997</v>
      </c>
      <c r="IP58" s="2">
        <v>32.909999999999997</v>
      </c>
      <c r="IQ58" s="2">
        <v>32.83</v>
      </c>
      <c r="IR58" s="2">
        <v>33.04</v>
      </c>
    </row>
    <row r="59" spans="1:252" ht="23.25" customHeight="1" x14ac:dyDescent="0.3">
      <c r="A59" s="4" t="s">
        <v>298</v>
      </c>
      <c r="B59" s="4">
        <v>51</v>
      </c>
      <c r="C59" s="4" t="s">
        <v>352</v>
      </c>
      <c r="D59" s="3" t="s">
        <v>300</v>
      </c>
      <c r="E59" s="3" t="s">
        <v>301</v>
      </c>
      <c r="F59" s="2">
        <v>77.02</v>
      </c>
      <c r="G59" s="2">
        <v>78.37</v>
      </c>
      <c r="H59" s="2">
        <v>78.23</v>
      </c>
      <c r="I59" s="2">
        <v>78.180000000000007</v>
      </c>
      <c r="J59" s="2">
        <v>78.52</v>
      </c>
      <c r="K59" s="2">
        <v>77.959999999999994</v>
      </c>
      <c r="L59" s="2">
        <v>78.819999999999993</v>
      </c>
      <c r="M59" s="2">
        <v>78.53</v>
      </c>
      <c r="N59" s="2">
        <v>78.45</v>
      </c>
      <c r="O59" s="2">
        <v>78.45</v>
      </c>
      <c r="P59" s="2">
        <v>78.62</v>
      </c>
      <c r="Q59" s="2">
        <v>78.239999999999995</v>
      </c>
      <c r="R59" s="2">
        <v>78.38</v>
      </c>
      <c r="S59" s="2">
        <v>77.75</v>
      </c>
      <c r="T59" s="2">
        <v>78.5</v>
      </c>
      <c r="U59" s="2">
        <v>77.94</v>
      </c>
      <c r="V59" s="2">
        <v>77.790000000000006</v>
      </c>
      <c r="W59" s="2">
        <v>77.7</v>
      </c>
      <c r="X59" s="2">
        <v>77.83</v>
      </c>
      <c r="Y59" s="2">
        <v>77.98</v>
      </c>
      <c r="Z59" s="2">
        <v>78.38</v>
      </c>
      <c r="AA59" s="2">
        <v>79</v>
      </c>
      <c r="AB59" s="2">
        <v>79.489999999999995</v>
      </c>
      <c r="AC59" s="2">
        <v>79.48</v>
      </c>
      <c r="AD59" s="2">
        <v>79.11</v>
      </c>
      <c r="AE59" s="2">
        <v>79.099999999999994</v>
      </c>
      <c r="AF59" s="2">
        <v>79.989999999999995</v>
      </c>
      <c r="AG59" s="2">
        <v>79.12</v>
      </c>
      <c r="AH59" s="2">
        <v>79.430000000000007</v>
      </c>
      <c r="AI59" s="2">
        <v>79.88</v>
      </c>
      <c r="AJ59" s="2">
        <v>79.95</v>
      </c>
      <c r="AK59" s="2">
        <v>79.86</v>
      </c>
      <c r="AL59" s="2">
        <v>80.14</v>
      </c>
      <c r="AM59" s="2">
        <v>80.349999999999994</v>
      </c>
      <c r="AN59" s="2">
        <v>80.55</v>
      </c>
      <c r="AO59" s="2">
        <v>80.42</v>
      </c>
      <c r="AP59" s="2">
        <v>80.47</v>
      </c>
      <c r="AQ59" s="2">
        <v>80.16</v>
      </c>
      <c r="AR59" s="2">
        <v>80.510000000000005</v>
      </c>
      <c r="AS59" s="2">
        <v>79.61</v>
      </c>
      <c r="AT59" s="2">
        <v>80.33</v>
      </c>
      <c r="AU59" s="2">
        <v>79.680000000000007</v>
      </c>
      <c r="AV59" s="2">
        <v>77.44</v>
      </c>
      <c r="AW59" s="2">
        <v>78.260000000000005</v>
      </c>
      <c r="AX59" s="2">
        <v>74.7</v>
      </c>
      <c r="AY59" s="2">
        <v>74.77</v>
      </c>
      <c r="AZ59" s="2">
        <v>74.400000000000006</v>
      </c>
      <c r="BA59" s="2">
        <v>76.459999999999994</v>
      </c>
      <c r="BB59" s="2">
        <v>75.09</v>
      </c>
      <c r="BC59" s="2">
        <v>75.959999999999994</v>
      </c>
      <c r="BD59" s="2">
        <v>75.650000000000006</v>
      </c>
      <c r="BE59" s="2">
        <v>74.709999999999994</v>
      </c>
      <c r="BF59" s="2">
        <v>75.75</v>
      </c>
      <c r="BG59" s="2">
        <v>75.459999999999994</v>
      </c>
      <c r="BH59" s="2">
        <v>75.7</v>
      </c>
      <c r="BI59" s="2">
        <v>75.69</v>
      </c>
      <c r="BJ59" s="2">
        <v>76.44</v>
      </c>
      <c r="BK59" s="2">
        <v>76.48</v>
      </c>
      <c r="BL59" s="2">
        <v>76.09</v>
      </c>
      <c r="BM59" s="2">
        <v>76.77</v>
      </c>
      <c r="BN59" s="2">
        <v>77.75</v>
      </c>
      <c r="BO59" s="2">
        <v>77.540000000000006</v>
      </c>
      <c r="BP59" s="2">
        <v>76.819999999999993</v>
      </c>
      <c r="BQ59" s="2">
        <v>78.33</v>
      </c>
      <c r="BR59" s="2">
        <v>76.39</v>
      </c>
      <c r="BS59" s="2">
        <v>76.61</v>
      </c>
      <c r="BT59" s="2">
        <v>77.260000000000005</v>
      </c>
      <c r="BU59" s="2">
        <v>76.59</v>
      </c>
      <c r="BV59" s="2">
        <v>77.23</v>
      </c>
      <c r="BW59" s="2">
        <v>77.569999999999993</v>
      </c>
      <c r="BX59" s="2">
        <v>77.69</v>
      </c>
      <c r="BY59" s="2">
        <v>77.22</v>
      </c>
      <c r="BZ59" s="2">
        <v>77.31</v>
      </c>
      <c r="CA59" s="2">
        <v>77.650000000000006</v>
      </c>
      <c r="CB59" s="2">
        <v>77.19</v>
      </c>
      <c r="CC59" s="2">
        <v>76.52</v>
      </c>
      <c r="CD59" s="2">
        <v>77.23</v>
      </c>
      <c r="CE59" s="2">
        <v>76.52</v>
      </c>
      <c r="CF59" s="2">
        <v>76.19</v>
      </c>
      <c r="CG59" s="2">
        <v>76.67</v>
      </c>
      <c r="CH59" s="2">
        <v>77.650000000000006</v>
      </c>
      <c r="CI59" s="2">
        <v>76.53</v>
      </c>
      <c r="CJ59" s="2">
        <v>77.010000000000005</v>
      </c>
      <c r="CK59" s="2">
        <v>77.05</v>
      </c>
      <c r="CL59" s="2">
        <v>76.44</v>
      </c>
      <c r="CM59" s="2">
        <v>76.650000000000006</v>
      </c>
      <c r="CN59" s="2">
        <v>76.81</v>
      </c>
      <c r="CO59" s="2">
        <v>77.28</v>
      </c>
      <c r="CP59" s="2">
        <v>76.67</v>
      </c>
      <c r="CQ59" s="2">
        <v>76.12</v>
      </c>
      <c r="CR59" s="2">
        <v>76.61</v>
      </c>
      <c r="CS59" s="2">
        <v>75.55</v>
      </c>
      <c r="CT59" s="2">
        <v>76.2</v>
      </c>
      <c r="CU59" s="2">
        <v>76.33</v>
      </c>
      <c r="CV59" s="2">
        <v>75.72</v>
      </c>
      <c r="CW59" s="2">
        <v>77.489999999999995</v>
      </c>
      <c r="CX59" s="2">
        <v>76.94</v>
      </c>
      <c r="CY59" s="2">
        <v>76.760000000000005</v>
      </c>
      <c r="CZ59" s="2">
        <v>76.010000000000005</v>
      </c>
      <c r="DA59" s="2">
        <v>76.31</v>
      </c>
      <c r="DB59" s="2">
        <v>76.400000000000006</v>
      </c>
      <c r="DC59" s="2">
        <v>76.78</v>
      </c>
      <c r="DD59" s="2">
        <v>77.430000000000007</v>
      </c>
      <c r="DE59" s="2">
        <v>77.52</v>
      </c>
      <c r="DF59" s="2">
        <v>77.62</v>
      </c>
      <c r="DG59" s="2">
        <v>76.5</v>
      </c>
      <c r="DH59" s="2">
        <v>76.91</v>
      </c>
      <c r="DI59" s="2">
        <v>77.099999999999994</v>
      </c>
      <c r="DJ59" s="2">
        <v>77.44</v>
      </c>
      <c r="DK59" s="2">
        <v>76.62</v>
      </c>
      <c r="DL59" s="2">
        <v>76.94</v>
      </c>
      <c r="DM59" s="2">
        <v>77.16</v>
      </c>
      <c r="DN59" s="2">
        <v>77.78</v>
      </c>
      <c r="DO59" s="2">
        <v>78.03</v>
      </c>
      <c r="DP59" s="2">
        <v>78.63</v>
      </c>
      <c r="DQ59" s="2">
        <v>78.98</v>
      </c>
      <c r="DR59" s="2">
        <v>78.95</v>
      </c>
      <c r="DS59" s="2">
        <v>78.760000000000005</v>
      </c>
      <c r="DT59" s="2">
        <v>77.650000000000006</v>
      </c>
      <c r="DU59" s="2">
        <v>77.489999999999995</v>
      </c>
      <c r="DV59" s="2">
        <v>77.069999999999993</v>
      </c>
      <c r="DW59" s="2">
        <v>77.790000000000006</v>
      </c>
      <c r="DX59" s="2">
        <v>76.83</v>
      </c>
      <c r="DY59" s="2">
        <v>76.349999999999994</v>
      </c>
      <c r="DZ59" s="2">
        <v>77.59</v>
      </c>
      <c r="EA59" s="2">
        <v>77.22</v>
      </c>
      <c r="EB59" s="2">
        <v>77.42</v>
      </c>
      <c r="EC59" s="2">
        <v>78.150000000000006</v>
      </c>
      <c r="ED59" s="2">
        <v>78.16</v>
      </c>
      <c r="EE59" s="2">
        <v>78.17</v>
      </c>
      <c r="EF59" s="2">
        <v>78.17</v>
      </c>
      <c r="EG59" s="2">
        <v>79.05</v>
      </c>
      <c r="EH59" s="2">
        <v>79.09</v>
      </c>
      <c r="EI59" s="2">
        <v>78.55</v>
      </c>
      <c r="EJ59" s="2">
        <v>78.599999999999994</v>
      </c>
      <c r="EK59" s="2">
        <v>78.53</v>
      </c>
      <c r="EL59" s="2">
        <v>78.989999999999995</v>
      </c>
      <c r="EM59" s="2">
        <v>78.89</v>
      </c>
      <c r="EN59" s="2">
        <v>80.06</v>
      </c>
      <c r="EO59" s="2">
        <v>78.64</v>
      </c>
      <c r="EP59" s="2">
        <v>78.91</v>
      </c>
      <c r="EQ59" s="2">
        <v>78.849999999999994</v>
      </c>
      <c r="ER59" s="2">
        <v>78.5</v>
      </c>
      <c r="ES59" s="2">
        <v>78.650000000000006</v>
      </c>
      <c r="ET59" s="2">
        <v>79.03</v>
      </c>
      <c r="EU59" s="2">
        <v>78.67</v>
      </c>
      <c r="EV59" s="2">
        <v>78.94</v>
      </c>
      <c r="EW59" s="2">
        <v>78.38</v>
      </c>
      <c r="EX59" s="2">
        <v>79</v>
      </c>
      <c r="EY59" s="2">
        <v>79.540000000000006</v>
      </c>
      <c r="EZ59" s="2">
        <v>79.010000000000005</v>
      </c>
      <c r="FA59" s="2">
        <v>79.31</v>
      </c>
      <c r="FB59" s="2">
        <v>80</v>
      </c>
      <c r="FC59" s="2">
        <v>79.930000000000007</v>
      </c>
      <c r="FD59" s="2">
        <v>80.05</v>
      </c>
      <c r="FE59" s="2">
        <v>79.709999999999994</v>
      </c>
      <c r="FF59" s="2">
        <v>79.38</v>
      </c>
      <c r="FG59" s="2">
        <v>79.73</v>
      </c>
      <c r="FH59" s="2">
        <v>80.42</v>
      </c>
      <c r="FI59" s="2">
        <v>80.36</v>
      </c>
      <c r="FJ59" s="2">
        <v>80.790000000000006</v>
      </c>
      <c r="FK59" s="2">
        <v>80.47</v>
      </c>
      <c r="FL59" s="2">
        <v>80.37</v>
      </c>
      <c r="FM59" s="2">
        <v>81.349999999999994</v>
      </c>
      <c r="FN59" s="2">
        <v>81.150000000000006</v>
      </c>
      <c r="FO59" s="2">
        <v>81.28</v>
      </c>
      <c r="FP59" s="2">
        <v>81.69</v>
      </c>
      <c r="FQ59" s="2">
        <v>81.48</v>
      </c>
      <c r="FR59" s="2">
        <v>81.61</v>
      </c>
      <c r="FS59" s="2">
        <v>82.39</v>
      </c>
      <c r="FT59" s="2">
        <v>82.14</v>
      </c>
      <c r="FU59" s="2">
        <v>82.07</v>
      </c>
      <c r="FV59" s="2">
        <v>81.849999999999994</v>
      </c>
      <c r="FW59" s="2">
        <v>81.64</v>
      </c>
      <c r="FX59" s="2">
        <v>82.45</v>
      </c>
      <c r="FY59" s="2">
        <v>81.849999999999994</v>
      </c>
      <c r="FZ59" s="2">
        <v>82.09</v>
      </c>
      <c r="GA59" s="2">
        <v>82.89</v>
      </c>
      <c r="GB59" s="2">
        <v>83.48</v>
      </c>
      <c r="GC59" s="2">
        <v>83.18</v>
      </c>
      <c r="GD59" s="2">
        <v>83.58</v>
      </c>
      <c r="GE59" s="2">
        <v>83.39</v>
      </c>
      <c r="GF59" s="2">
        <v>82.32</v>
      </c>
      <c r="GG59" s="2">
        <v>82.39</v>
      </c>
      <c r="GH59" s="2">
        <v>82.52</v>
      </c>
      <c r="GI59" s="2">
        <v>82.05</v>
      </c>
      <c r="GJ59" s="2">
        <v>83.08</v>
      </c>
      <c r="GK59" s="2">
        <v>83.18</v>
      </c>
      <c r="GL59" s="2">
        <v>84.04</v>
      </c>
      <c r="GM59" s="2">
        <v>84.74</v>
      </c>
      <c r="GN59" s="2">
        <v>85.27</v>
      </c>
      <c r="GO59" s="2">
        <v>85.79</v>
      </c>
      <c r="GP59" s="2">
        <v>86.19</v>
      </c>
      <c r="GQ59" s="2">
        <v>85.3</v>
      </c>
      <c r="GR59" s="2">
        <v>84.87</v>
      </c>
      <c r="GS59" s="2">
        <v>85.25</v>
      </c>
      <c r="GT59" s="2">
        <v>85.19</v>
      </c>
      <c r="GU59" s="2">
        <v>85.18</v>
      </c>
      <c r="GV59" s="2">
        <v>84.73</v>
      </c>
      <c r="GW59" s="2">
        <v>85.03</v>
      </c>
      <c r="GX59" s="2">
        <v>85.61</v>
      </c>
      <c r="GY59" s="2">
        <v>85.4</v>
      </c>
      <c r="GZ59" s="2">
        <v>85.36</v>
      </c>
      <c r="HA59" s="2">
        <v>85.63</v>
      </c>
      <c r="HB59" s="2">
        <v>85.96</v>
      </c>
      <c r="HC59" s="2">
        <v>85.87</v>
      </c>
      <c r="HD59" s="2">
        <v>86.2</v>
      </c>
      <c r="HE59" s="2">
        <v>86.79</v>
      </c>
      <c r="HF59" s="2">
        <v>86.91</v>
      </c>
      <c r="HG59" s="2">
        <v>86.2</v>
      </c>
      <c r="HH59" s="2">
        <v>86.23</v>
      </c>
      <c r="HI59" s="2">
        <v>86.84</v>
      </c>
      <c r="HJ59" s="2">
        <v>87.13</v>
      </c>
      <c r="HK59" s="2">
        <v>87.28</v>
      </c>
      <c r="HL59" s="2">
        <v>87.73</v>
      </c>
      <c r="HM59" s="2">
        <v>87.88</v>
      </c>
      <c r="HN59" s="2">
        <v>88.15</v>
      </c>
      <c r="HO59" s="2">
        <v>88.27</v>
      </c>
      <c r="HP59" s="2">
        <v>88.14</v>
      </c>
      <c r="HQ59" s="2">
        <v>88.49</v>
      </c>
      <c r="HR59" s="2">
        <v>88.9</v>
      </c>
      <c r="HS59" s="2">
        <v>87.76</v>
      </c>
      <c r="HT59" s="2">
        <v>86.55</v>
      </c>
      <c r="HU59" s="2">
        <v>85.93</v>
      </c>
      <c r="HV59" s="2">
        <v>86.44</v>
      </c>
      <c r="HW59" s="2">
        <v>86.48</v>
      </c>
      <c r="HX59" s="2">
        <v>87.42</v>
      </c>
      <c r="HY59" s="2">
        <v>88.35</v>
      </c>
      <c r="HZ59" s="2">
        <v>88.32</v>
      </c>
      <c r="IA59" s="2">
        <v>88</v>
      </c>
      <c r="IB59" s="2">
        <v>87.73</v>
      </c>
      <c r="IC59" s="2">
        <v>88.25</v>
      </c>
      <c r="ID59" s="2">
        <v>89.29</v>
      </c>
      <c r="IE59" s="2">
        <v>89.84</v>
      </c>
      <c r="IF59" s="2">
        <v>90.08</v>
      </c>
      <c r="IG59" s="2">
        <v>89.91</v>
      </c>
      <c r="IH59" s="2">
        <v>89.66</v>
      </c>
      <c r="II59" s="2">
        <v>89.9</v>
      </c>
      <c r="IJ59" s="2">
        <v>89.93</v>
      </c>
      <c r="IK59" s="2">
        <v>90.49</v>
      </c>
      <c r="IL59" s="2">
        <v>90.97</v>
      </c>
      <c r="IM59" s="2">
        <v>91.3</v>
      </c>
      <c r="IN59" s="2">
        <v>89.98</v>
      </c>
      <c r="IO59" s="2">
        <v>91.28</v>
      </c>
      <c r="IP59" s="2">
        <v>90.69</v>
      </c>
      <c r="IQ59" s="2">
        <v>90.7</v>
      </c>
      <c r="IR59" s="2">
        <v>88.74</v>
      </c>
    </row>
    <row r="60" spans="1:252" ht="23.25" customHeight="1" x14ac:dyDescent="0.3">
      <c r="A60" s="4" t="s">
        <v>298</v>
      </c>
      <c r="B60" s="4">
        <v>52</v>
      </c>
      <c r="C60" s="4" t="s">
        <v>353</v>
      </c>
      <c r="D60" s="3" t="s">
        <v>300</v>
      </c>
      <c r="E60" s="3" t="s">
        <v>301</v>
      </c>
      <c r="F60" s="2">
        <v>28.93</v>
      </c>
      <c r="G60" s="2">
        <v>29.17</v>
      </c>
      <c r="H60" s="2">
        <v>29.06</v>
      </c>
      <c r="I60" s="2">
        <v>28.82</v>
      </c>
      <c r="J60" s="2">
        <v>28.77</v>
      </c>
      <c r="K60" s="2">
        <v>28.79</v>
      </c>
      <c r="L60" s="2">
        <v>28.9</v>
      </c>
      <c r="M60" s="2">
        <v>28.81</v>
      </c>
      <c r="N60" s="2">
        <v>28.7</v>
      </c>
      <c r="O60" s="2">
        <v>28.65</v>
      </c>
      <c r="P60" s="2">
        <v>28.51</v>
      </c>
      <c r="Q60" s="2">
        <v>28.48</v>
      </c>
      <c r="R60" s="2">
        <v>28.51</v>
      </c>
      <c r="S60" s="2">
        <v>28.45</v>
      </c>
      <c r="T60" s="2">
        <v>28.46</v>
      </c>
      <c r="U60" s="2">
        <v>28.35</v>
      </c>
      <c r="V60" s="2">
        <v>28.25</v>
      </c>
      <c r="W60" s="2">
        <v>28.29</v>
      </c>
      <c r="X60" s="2">
        <v>28.3</v>
      </c>
      <c r="Y60" s="2">
        <v>28.42</v>
      </c>
      <c r="Z60" s="2">
        <v>28.81</v>
      </c>
      <c r="AA60" s="2">
        <v>28.83</v>
      </c>
      <c r="AB60" s="2">
        <v>28.73</v>
      </c>
      <c r="AC60" s="2">
        <v>28.45</v>
      </c>
      <c r="AD60" s="2">
        <v>28.55</v>
      </c>
      <c r="AE60" s="2">
        <v>28.69</v>
      </c>
      <c r="AF60" s="2">
        <v>28.81</v>
      </c>
      <c r="AG60" s="2">
        <v>28.66</v>
      </c>
      <c r="AH60" s="2">
        <v>28.67</v>
      </c>
      <c r="AI60" s="2">
        <v>28.77</v>
      </c>
      <c r="AJ60" s="2">
        <v>28.67</v>
      </c>
      <c r="AK60" s="2">
        <v>28.66</v>
      </c>
      <c r="AL60" s="2">
        <v>28.68</v>
      </c>
      <c r="AM60" s="2">
        <v>28.86</v>
      </c>
      <c r="AN60" s="2">
        <v>28.97</v>
      </c>
      <c r="AO60" s="2">
        <v>28.99</v>
      </c>
      <c r="AP60" s="2">
        <v>29.06</v>
      </c>
      <c r="AQ60" s="2">
        <v>28.99</v>
      </c>
      <c r="AR60" s="2">
        <v>29.01</v>
      </c>
      <c r="AS60" s="2">
        <v>29</v>
      </c>
      <c r="AT60" s="2">
        <v>29.08</v>
      </c>
      <c r="AU60" s="2">
        <v>29.1</v>
      </c>
      <c r="AV60" s="2">
        <v>29.03</v>
      </c>
      <c r="AW60" s="2">
        <v>29</v>
      </c>
      <c r="AX60" s="2">
        <v>28.15</v>
      </c>
      <c r="AY60" s="2">
        <v>28.53</v>
      </c>
      <c r="AZ60" s="2">
        <v>28.68</v>
      </c>
      <c r="BA60" s="2">
        <v>28.7</v>
      </c>
      <c r="BB60" s="2">
        <v>28.41</v>
      </c>
      <c r="BC60" s="2">
        <v>28.32</v>
      </c>
      <c r="BD60" s="2">
        <v>27.99</v>
      </c>
      <c r="BE60" s="2">
        <v>27.92</v>
      </c>
      <c r="BF60" s="2">
        <v>27.92</v>
      </c>
      <c r="BG60" s="2">
        <v>27.77</v>
      </c>
      <c r="BH60" s="2">
        <v>27.81</v>
      </c>
      <c r="BI60" s="2">
        <v>27.76</v>
      </c>
      <c r="BJ60" s="2">
        <v>27.87</v>
      </c>
      <c r="BK60" s="2">
        <v>27.99</v>
      </c>
      <c r="BL60" s="2">
        <v>28.07</v>
      </c>
      <c r="BM60" s="2">
        <v>28.18</v>
      </c>
      <c r="BN60" s="2">
        <v>28.3</v>
      </c>
      <c r="BO60" s="2">
        <v>28.32</v>
      </c>
      <c r="BP60" s="2">
        <v>28.09</v>
      </c>
      <c r="BQ60" s="2">
        <v>28.16</v>
      </c>
      <c r="BR60" s="2">
        <v>27.53</v>
      </c>
      <c r="BS60" s="2">
        <v>27.58</v>
      </c>
      <c r="BT60" s="2">
        <v>27.77</v>
      </c>
      <c r="BU60" s="2">
        <v>27.73</v>
      </c>
      <c r="BV60" s="2">
        <v>28.02</v>
      </c>
      <c r="BW60" s="2">
        <v>28.1</v>
      </c>
      <c r="BX60" s="2">
        <v>27.91</v>
      </c>
      <c r="BY60" s="2">
        <v>27.83</v>
      </c>
      <c r="BZ60" s="2">
        <v>27.93</v>
      </c>
      <c r="CA60" s="2">
        <v>27.91</v>
      </c>
      <c r="CB60" s="2">
        <v>27.83</v>
      </c>
      <c r="CC60" s="2">
        <v>27.62</v>
      </c>
      <c r="CD60" s="2">
        <v>27.6</v>
      </c>
      <c r="CE60" s="2">
        <v>27.41</v>
      </c>
      <c r="CF60" s="2">
        <v>27.48</v>
      </c>
      <c r="CG60" s="2">
        <v>27.61</v>
      </c>
      <c r="CH60" s="2">
        <v>27.76</v>
      </c>
      <c r="CI60" s="2">
        <v>27.68</v>
      </c>
      <c r="CJ60" s="2">
        <v>27.72</v>
      </c>
      <c r="CK60" s="2">
        <v>27.66</v>
      </c>
      <c r="CL60" s="2">
        <v>27.38</v>
      </c>
      <c r="CM60" s="2">
        <v>27.38</v>
      </c>
      <c r="CN60" s="2">
        <v>27.46</v>
      </c>
      <c r="CO60" s="2">
        <v>27.65</v>
      </c>
      <c r="CP60" s="2">
        <v>27.38</v>
      </c>
      <c r="CQ60" s="2">
        <v>27.01</v>
      </c>
      <c r="CR60" s="2">
        <v>27.13</v>
      </c>
      <c r="CS60" s="2">
        <v>27.15</v>
      </c>
      <c r="CT60" s="2">
        <v>27.18</v>
      </c>
      <c r="CU60" s="2">
        <v>27.23</v>
      </c>
      <c r="CV60" s="2">
        <v>26.95</v>
      </c>
      <c r="CW60" s="2">
        <v>27.27</v>
      </c>
      <c r="CX60" s="2">
        <v>27.27</v>
      </c>
      <c r="CY60" s="2">
        <v>27.27</v>
      </c>
      <c r="CZ60" s="2">
        <v>27.21</v>
      </c>
      <c r="DA60" s="2">
        <v>27.3</v>
      </c>
      <c r="DB60" s="2">
        <v>27.3</v>
      </c>
      <c r="DC60" s="2">
        <v>27.36</v>
      </c>
      <c r="DD60" s="2">
        <v>27.55</v>
      </c>
      <c r="DE60" s="2">
        <v>27.52</v>
      </c>
      <c r="DF60" s="2">
        <v>27.64</v>
      </c>
      <c r="DG60" s="2">
        <v>27.51</v>
      </c>
      <c r="DH60" s="2">
        <v>27.54</v>
      </c>
      <c r="DI60" s="2">
        <v>27.69</v>
      </c>
      <c r="DJ60" s="2">
        <v>27.73</v>
      </c>
      <c r="DK60" s="2">
        <v>27.78</v>
      </c>
      <c r="DL60" s="2">
        <v>27.87</v>
      </c>
      <c r="DM60" s="2">
        <v>27.98</v>
      </c>
      <c r="DN60" s="2">
        <v>28.07</v>
      </c>
      <c r="DO60" s="2">
        <v>28.15</v>
      </c>
      <c r="DP60" s="2">
        <v>28.19</v>
      </c>
      <c r="DQ60" s="2">
        <v>28.25</v>
      </c>
      <c r="DR60" s="2">
        <v>28.25</v>
      </c>
      <c r="DS60" s="2">
        <v>28.09</v>
      </c>
      <c r="DT60" s="2">
        <v>27.9</v>
      </c>
      <c r="DU60" s="2">
        <v>28.15</v>
      </c>
      <c r="DV60" s="2">
        <v>28.28</v>
      </c>
      <c r="DW60" s="2">
        <v>28.6</v>
      </c>
      <c r="DX60" s="2">
        <v>28.38</v>
      </c>
      <c r="DY60" s="2">
        <v>28.63</v>
      </c>
      <c r="DZ60" s="2">
        <v>28.79</v>
      </c>
      <c r="EA60" s="2">
        <v>28.58</v>
      </c>
      <c r="EB60" s="2">
        <v>28.63</v>
      </c>
      <c r="EC60" s="2">
        <v>28.68</v>
      </c>
      <c r="ED60" s="2">
        <v>28.52</v>
      </c>
      <c r="EE60" s="2">
        <v>28.6</v>
      </c>
      <c r="EF60" s="2">
        <v>28.63</v>
      </c>
      <c r="EG60" s="2">
        <v>28.69</v>
      </c>
      <c r="EH60" s="2">
        <v>28.64</v>
      </c>
      <c r="EI60" s="2">
        <v>28.61</v>
      </c>
      <c r="EJ60" s="2">
        <v>28.63</v>
      </c>
      <c r="EK60" s="2">
        <v>28.68</v>
      </c>
      <c r="EL60" s="2">
        <v>28.77</v>
      </c>
      <c r="EM60" s="2">
        <v>28.83</v>
      </c>
      <c r="EN60" s="2">
        <v>28.82</v>
      </c>
      <c r="EO60" s="2">
        <v>28.58</v>
      </c>
      <c r="EP60" s="2">
        <v>28.63</v>
      </c>
      <c r="EQ60" s="2">
        <v>28.69</v>
      </c>
      <c r="ER60" s="2">
        <v>28.63</v>
      </c>
      <c r="ES60" s="2">
        <v>28.57</v>
      </c>
      <c r="ET60" s="2">
        <v>28.69</v>
      </c>
      <c r="EU60" s="2">
        <v>28.69</v>
      </c>
      <c r="EV60" s="2">
        <v>28.71</v>
      </c>
      <c r="EW60" s="2">
        <v>28.69</v>
      </c>
      <c r="EX60" s="2">
        <v>28.71</v>
      </c>
      <c r="EY60" s="2">
        <v>28.85</v>
      </c>
      <c r="EZ60" s="2">
        <v>28.91</v>
      </c>
      <c r="FA60" s="2">
        <v>28.85</v>
      </c>
      <c r="FB60" s="2">
        <v>28.81</v>
      </c>
      <c r="FC60" s="2">
        <v>28.8</v>
      </c>
      <c r="FD60" s="2">
        <v>28.85</v>
      </c>
      <c r="FE60" s="2">
        <v>28.75</v>
      </c>
      <c r="FF60" s="2">
        <v>28.67</v>
      </c>
      <c r="FG60" s="2">
        <v>28.73</v>
      </c>
      <c r="FH60" s="2">
        <v>28.92</v>
      </c>
      <c r="FI60" s="2">
        <v>28.95</v>
      </c>
      <c r="FJ60" s="2">
        <v>28.95</v>
      </c>
      <c r="FK60" s="2">
        <v>28.96</v>
      </c>
      <c r="FL60" s="2">
        <v>29.1</v>
      </c>
      <c r="FM60" s="2">
        <v>29.32</v>
      </c>
      <c r="FN60" s="2">
        <v>29.18</v>
      </c>
      <c r="FO60" s="2">
        <v>29.32</v>
      </c>
      <c r="FP60" s="2">
        <v>29.38</v>
      </c>
      <c r="FQ60" s="2">
        <v>29.48</v>
      </c>
      <c r="FR60" s="2">
        <v>29.67</v>
      </c>
      <c r="FS60" s="2">
        <v>29.93</v>
      </c>
      <c r="FT60" s="2">
        <v>29.97</v>
      </c>
      <c r="FU60" s="2">
        <v>29.92</v>
      </c>
      <c r="FV60" s="2">
        <v>29.81</v>
      </c>
      <c r="FW60" s="2">
        <v>29.84</v>
      </c>
      <c r="FX60" s="2">
        <v>29.9</v>
      </c>
      <c r="FY60" s="2">
        <v>29.95</v>
      </c>
      <c r="FZ60" s="2">
        <v>30.06</v>
      </c>
      <c r="GA60" s="2">
        <v>30.19</v>
      </c>
      <c r="GB60" s="2">
        <v>30.21</v>
      </c>
      <c r="GC60" s="2">
        <v>30.19</v>
      </c>
      <c r="GD60" s="2">
        <v>30.28</v>
      </c>
      <c r="GE60" s="2">
        <v>30.3</v>
      </c>
      <c r="GF60" s="2">
        <v>30.13</v>
      </c>
      <c r="GG60" s="2">
        <v>30.22</v>
      </c>
      <c r="GH60" s="2">
        <v>30.28</v>
      </c>
      <c r="GI60" s="2">
        <v>30.39</v>
      </c>
      <c r="GJ60" s="2">
        <v>30.52</v>
      </c>
      <c r="GK60" s="2">
        <v>30.56</v>
      </c>
      <c r="GL60" s="2">
        <v>30.72</v>
      </c>
      <c r="GM60" s="2">
        <v>30.76</v>
      </c>
      <c r="GN60" s="2">
        <v>31.01</v>
      </c>
      <c r="GO60" s="2">
        <v>31.07</v>
      </c>
      <c r="GP60" s="2">
        <v>31.14</v>
      </c>
      <c r="GQ60" s="2">
        <v>30.96</v>
      </c>
      <c r="GR60" s="2">
        <v>30.99</v>
      </c>
      <c r="GS60" s="2">
        <v>31.07</v>
      </c>
      <c r="GT60" s="2">
        <v>30.91</v>
      </c>
      <c r="GU60" s="2">
        <v>30.98</v>
      </c>
      <c r="GV60" s="2">
        <v>30.94</v>
      </c>
      <c r="GW60" s="2">
        <v>30.87</v>
      </c>
      <c r="GX60" s="2">
        <v>30.82</v>
      </c>
      <c r="GY60" s="2">
        <v>30.65</v>
      </c>
      <c r="GZ60" s="2">
        <v>30.76</v>
      </c>
      <c r="HA60" s="2">
        <v>30.81</v>
      </c>
      <c r="HB60" s="2">
        <v>30.92</v>
      </c>
      <c r="HC60" s="2">
        <v>30.93</v>
      </c>
      <c r="HD60" s="2">
        <v>30.89</v>
      </c>
      <c r="HE60" s="2">
        <v>30.97</v>
      </c>
      <c r="HF60" s="2">
        <v>31.02</v>
      </c>
      <c r="HG60" s="2">
        <v>30.95</v>
      </c>
      <c r="HH60" s="2">
        <v>30.92</v>
      </c>
      <c r="HI60" s="2">
        <v>30.92</v>
      </c>
      <c r="HJ60" s="2">
        <v>30.93</v>
      </c>
      <c r="HK60" s="2">
        <v>31</v>
      </c>
      <c r="HL60" s="2">
        <v>31.08</v>
      </c>
      <c r="HM60" s="2">
        <v>31.08</v>
      </c>
      <c r="HN60" s="2">
        <v>31.06</v>
      </c>
      <c r="HO60" s="2">
        <v>31.08</v>
      </c>
      <c r="HP60" s="2">
        <v>31.11</v>
      </c>
      <c r="HQ60" s="2">
        <v>31.17</v>
      </c>
      <c r="HR60" s="2">
        <v>31.24</v>
      </c>
      <c r="HS60" s="2">
        <v>30.69</v>
      </c>
      <c r="HT60" s="2">
        <v>30.26</v>
      </c>
      <c r="HU60" s="2">
        <v>30.08</v>
      </c>
      <c r="HV60" s="2">
        <v>30.07</v>
      </c>
      <c r="HW60" s="2">
        <v>30.08</v>
      </c>
      <c r="HX60" s="2">
        <v>30.3</v>
      </c>
      <c r="HY60" s="2">
        <v>30.57</v>
      </c>
      <c r="HZ60" s="2">
        <v>30.6</v>
      </c>
      <c r="IA60" s="2">
        <v>30.65</v>
      </c>
      <c r="IB60" s="2">
        <v>30.66</v>
      </c>
      <c r="IC60" s="2">
        <v>30.83</v>
      </c>
      <c r="ID60" s="2">
        <v>31.05</v>
      </c>
      <c r="IE60" s="2">
        <v>31.27</v>
      </c>
      <c r="IF60" s="2">
        <v>31.24</v>
      </c>
      <c r="IG60" s="2">
        <v>31.11</v>
      </c>
      <c r="IH60" s="2">
        <v>31.1</v>
      </c>
      <c r="II60" s="2">
        <v>31.08</v>
      </c>
      <c r="IJ60" s="2">
        <v>31.11</v>
      </c>
      <c r="IK60" s="2">
        <v>31.08</v>
      </c>
      <c r="IL60" s="2">
        <v>31.21</v>
      </c>
      <c r="IM60" s="2">
        <v>31.19</v>
      </c>
      <c r="IN60" s="2">
        <v>30.72</v>
      </c>
      <c r="IO60" s="2">
        <v>30.83</v>
      </c>
      <c r="IP60" s="2">
        <v>30.51</v>
      </c>
      <c r="IQ60" s="2">
        <v>30.47</v>
      </c>
      <c r="IR60" s="2">
        <v>30.48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DF75-1651-46F9-AEBD-C79320B4267A}">
  <dimension ref="A1:C4"/>
  <sheetViews>
    <sheetView workbookViewId="0">
      <selection activeCell="F5" sqref="F5"/>
    </sheetView>
  </sheetViews>
  <sheetFormatPr defaultRowHeight="16.5" x14ac:dyDescent="0.3"/>
  <cols>
    <col min="1" max="1" width="16.125" bestFit="1" customWidth="1"/>
    <col min="2" max="2" width="10.625" bestFit="1" customWidth="1"/>
    <col min="3" max="3" width="11.25" bestFit="1" customWidth="1"/>
  </cols>
  <sheetData>
    <row r="1" spans="1:3" x14ac:dyDescent="0.3">
      <c r="A1" t="s">
        <v>354</v>
      </c>
      <c r="B1" t="s">
        <v>355</v>
      </c>
      <c r="C1" t="s">
        <v>356</v>
      </c>
    </row>
    <row r="2" spans="1:3" x14ac:dyDescent="0.3">
      <c r="A2" t="s">
        <v>357</v>
      </c>
      <c r="B2" s="39">
        <v>1503.5</v>
      </c>
      <c r="C2">
        <v>0.4</v>
      </c>
    </row>
    <row r="3" spans="1:3" x14ac:dyDescent="0.3">
      <c r="A3" t="s">
        <v>358</v>
      </c>
      <c r="B3" s="39">
        <v>1746.69</v>
      </c>
      <c r="C3">
        <v>-6.63</v>
      </c>
    </row>
    <row r="4" spans="1:3" x14ac:dyDescent="0.3">
      <c r="A4" t="s">
        <v>359</v>
      </c>
      <c r="B4">
        <v>945.51</v>
      </c>
      <c r="C4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8D38-C76C-4199-A4BD-06741751BBC9}">
  <dimension ref="A1:E56"/>
  <sheetViews>
    <sheetView workbookViewId="0">
      <selection activeCell="A2" sqref="A2"/>
    </sheetView>
  </sheetViews>
  <sheetFormatPr defaultRowHeight="16.5" x14ac:dyDescent="0.3"/>
  <cols>
    <col min="1" max="1" width="28.75" bestFit="1" customWidth="1"/>
    <col min="2" max="2" width="10.625" bestFit="1" customWidth="1"/>
    <col min="3" max="3" width="11.25" bestFit="1" customWidth="1"/>
    <col min="4" max="4" width="13.375" bestFit="1" customWidth="1"/>
    <col min="5" max="5" width="15.375" bestFit="1" customWidth="1"/>
  </cols>
  <sheetData>
    <row r="1" spans="1:5" x14ac:dyDescent="0.3">
      <c r="A1" t="s">
        <v>354</v>
      </c>
      <c r="B1" t="s">
        <v>355</v>
      </c>
      <c r="C1" t="s">
        <v>356</v>
      </c>
      <c r="D1" t="s">
        <v>360</v>
      </c>
      <c r="E1" t="s">
        <v>361</v>
      </c>
    </row>
    <row r="2" spans="1:5" x14ac:dyDescent="0.3">
      <c r="A2" t="s">
        <v>359</v>
      </c>
      <c r="B2">
        <v>949.78</v>
      </c>
      <c r="C2">
        <v>3.66</v>
      </c>
      <c r="D2">
        <v>159.125</v>
      </c>
      <c r="E2" t="s">
        <v>362</v>
      </c>
    </row>
    <row r="3" spans="1:5" x14ac:dyDescent="0.3">
      <c r="A3" t="s">
        <v>358</v>
      </c>
      <c r="B3">
        <v>1728.48</v>
      </c>
      <c r="C3">
        <v>8.1</v>
      </c>
      <c r="D3">
        <v>1.15625</v>
      </c>
      <c r="E3" t="s">
        <v>363</v>
      </c>
    </row>
    <row r="4" spans="1:5" x14ac:dyDescent="0.3">
      <c r="A4" t="s">
        <v>364</v>
      </c>
      <c r="B4">
        <v>1993.08</v>
      </c>
      <c r="C4">
        <v>20.79</v>
      </c>
      <c r="D4">
        <v>1.33325</v>
      </c>
      <c r="E4" t="s">
        <v>363</v>
      </c>
    </row>
    <row r="5" spans="1:5" x14ac:dyDescent="0.3">
      <c r="A5" t="s">
        <v>365</v>
      </c>
      <c r="B5">
        <v>1089.3800000000001</v>
      </c>
      <c r="C5">
        <v>2.46</v>
      </c>
      <c r="D5">
        <v>1.37225</v>
      </c>
      <c r="E5" t="s">
        <v>362</v>
      </c>
    </row>
    <row r="6" spans="1:5" x14ac:dyDescent="0.3">
      <c r="A6" t="s">
        <v>366</v>
      </c>
      <c r="B6">
        <v>1899.25</v>
      </c>
      <c r="C6">
        <v>2.35</v>
      </c>
      <c r="D6">
        <v>0.78710000000000002</v>
      </c>
      <c r="E6" t="s">
        <v>362</v>
      </c>
    </row>
    <row r="7" spans="1:5" x14ac:dyDescent="0.3">
      <c r="A7" t="s">
        <v>367</v>
      </c>
      <c r="B7">
        <v>1048.1500000000001</v>
      </c>
      <c r="C7">
        <v>14.99</v>
      </c>
      <c r="D7">
        <v>0.70115000000000005</v>
      </c>
      <c r="E7" t="s">
        <v>363</v>
      </c>
    </row>
    <row r="8" spans="1:5" x14ac:dyDescent="0.3">
      <c r="A8" t="s">
        <v>368</v>
      </c>
      <c r="B8">
        <v>872.05</v>
      </c>
      <c r="C8">
        <v>8.27</v>
      </c>
      <c r="D8">
        <v>0.58335000000000004</v>
      </c>
      <c r="E8" t="s">
        <v>363</v>
      </c>
    </row>
    <row r="9" spans="1:5" x14ac:dyDescent="0.3">
      <c r="A9" t="s">
        <v>369</v>
      </c>
      <c r="B9">
        <v>190.84</v>
      </c>
      <c r="C9">
        <v>0.61</v>
      </c>
      <c r="D9">
        <v>7.8333500000000003</v>
      </c>
      <c r="E9" t="s">
        <v>362</v>
      </c>
    </row>
    <row r="10" spans="1:5" x14ac:dyDescent="0.3">
      <c r="A10" t="s">
        <v>370</v>
      </c>
      <c r="B10">
        <v>46.66</v>
      </c>
      <c r="C10">
        <v>0.48</v>
      </c>
      <c r="D10">
        <v>32.039000000000001</v>
      </c>
      <c r="E10" t="s">
        <v>362</v>
      </c>
    </row>
    <row r="11" spans="1:5" x14ac:dyDescent="0.3">
      <c r="A11" t="s">
        <v>371</v>
      </c>
      <c r="B11">
        <v>0.42</v>
      </c>
      <c r="C11">
        <v>0</v>
      </c>
      <c r="D11">
        <v>3569</v>
      </c>
      <c r="E11" t="s">
        <v>362</v>
      </c>
    </row>
    <row r="12" spans="1:5" x14ac:dyDescent="0.3">
      <c r="A12" t="s">
        <v>372</v>
      </c>
      <c r="B12">
        <v>3.11</v>
      </c>
      <c r="C12">
        <v>0.01</v>
      </c>
      <c r="D12">
        <v>479.95</v>
      </c>
      <c r="E12" t="s">
        <v>362</v>
      </c>
    </row>
    <row r="13" spans="1:5" x14ac:dyDescent="0.3">
      <c r="A13" t="s">
        <v>373</v>
      </c>
      <c r="B13">
        <v>45.38</v>
      </c>
      <c r="C13">
        <v>0.78</v>
      </c>
      <c r="D13">
        <v>32.94</v>
      </c>
      <c r="E13" t="s">
        <v>362</v>
      </c>
    </row>
    <row r="14" spans="1:5" x14ac:dyDescent="0.3">
      <c r="A14" t="s">
        <v>374</v>
      </c>
      <c r="B14">
        <v>1166.1099999999999</v>
      </c>
      <c r="C14">
        <v>7.69</v>
      </c>
      <c r="D14">
        <v>1.2819499999999999</v>
      </c>
      <c r="E14" t="s">
        <v>362</v>
      </c>
    </row>
    <row r="15" spans="1:5" x14ac:dyDescent="0.3">
      <c r="A15" t="s">
        <v>375</v>
      </c>
      <c r="B15">
        <v>8.8000000000000007</v>
      </c>
      <c r="C15">
        <v>0.03</v>
      </c>
      <c r="D15">
        <v>16980</v>
      </c>
      <c r="E15" t="s">
        <v>362</v>
      </c>
    </row>
    <row r="16" spans="1:5" x14ac:dyDescent="0.3">
      <c r="A16" t="s">
        <v>376</v>
      </c>
      <c r="B16">
        <v>379.46</v>
      </c>
      <c r="C16">
        <v>1.22</v>
      </c>
      <c r="D16">
        <v>3.9394999999999998</v>
      </c>
      <c r="E16" t="s">
        <v>362</v>
      </c>
    </row>
    <row r="17" spans="1:5" x14ac:dyDescent="0.3">
      <c r="A17" t="s">
        <v>377</v>
      </c>
      <c r="B17">
        <v>24.98</v>
      </c>
      <c r="C17">
        <v>0.08</v>
      </c>
      <c r="D17">
        <v>59.841999999999999</v>
      </c>
      <c r="E17" t="s">
        <v>362</v>
      </c>
    </row>
    <row r="18" spans="1:5" x14ac:dyDescent="0.3">
      <c r="A18" t="s">
        <v>378</v>
      </c>
      <c r="B18">
        <v>5.68</v>
      </c>
      <c r="C18">
        <v>0.02</v>
      </c>
      <c r="D18">
        <v>26312</v>
      </c>
      <c r="E18" t="s">
        <v>362</v>
      </c>
    </row>
    <row r="19" spans="1:5" x14ac:dyDescent="0.3">
      <c r="A19" t="s">
        <v>379</v>
      </c>
      <c r="B19">
        <v>1166.1099999999999</v>
      </c>
      <c r="C19">
        <v>7.69</v>
      </c>
      <c r="D19">
        <v>1.2819499999999999</v>
      </c>
      <c r="E19" t="s">
        <v>362</v>
      </c>
    </row>
    <row r="20" spans="1:5" x14ac:dyDescent="0.3">
      <c r="A20" t="s">
        <v>380</v>
      </c>
      <c r="B20">
        <v>15.96</v>
      </c>
      <c r="C20">
        <v>0.18</v>
      </c>
      <c r="D20">
        <v>93.691999999999993</v>
      </c>
      <c r="E20" t="s">
        <v>362</v>
      </c>
    </row>
    <row r="21" spans="1:5" x14ac:dyDescent="0.3">
      <c r="A21" t="s">
        <v>381</v>
      </c>
      <c r="B21">
        <v>5.36</v>
      </c>
      <c r="C21">
        <v>0.01</v>
      </c>
      <c r="D21">
        <v>279.14999999999998</v>
      </c>
      <c r="E21" t="s">
        <v>362</v>
      </c>
    </row>
    <row r="22" spans="1:5" x14ac:dyDescent="0.3">
      <c r="A22" t="s">
        <v>382</v>
      </c>
      <c r="B22">
        <v>12.18</v>
      </c>
      <c r="C22">
        <v>0.04</v>
      </c>
      <c r="D22">
        <v>122.7</v>
      </c>
      <c r="E22" t="s">
        <v>362</v>
      </c>
    </row>
    <row r="23" spans="1:5" x14ac:dyDescent="0.3">
      <c r="A23" t="s">
        <v>383</v>
      </c>
      <c r="B23">
        <v>0.37</v>
      </c>
      <c r="C23">
        <v>0</v>
      </c>
      <c r="D23">
        <v>3999.5</v>
      </c>
      <c r="E23" t="s">
        <v>362</v>
      </c>
    </row>
    <row r="24" spans="1:5" x14ac:dyDescent="0.3">
      <c r="A24" t="s">
        <v>384</v>
      </c>
      <c r="B24">
        <v>185.1</v>
      </c>
      <c r="C24">
        <v>0.68</v>
      </c>
      <c r="D24">
        <v>8.0760000000000005</v>
      </c>
      <c r="E24" t="s">
        <v>362</v>
      </c>
    </row>
    <row r="25" spans="1:5" x14ac:dyDescent="0.3">
      <c r="A25" t="s">
        <v>385</v>
      </c>
      <c r="B25">
        <v>9.9700000000000006</v>
      </c>
      <c r="C25">
        <v>0.15</v>
      </c>
      <c r="D25">
        <v>149.94499999999999</v>
      </c>
      <c r="E25" t="s">
        <v>362</v>
      </c>
    </row>
    <row r="26" spans="1:5" x14ac:dyDescent="0.3">
      <c r="A26" t="s">
        <v>386</v>
      </c>
      <c r="B26">
        <v>4.79</v>
      </c>
      <c r="C26">
        <v>0.02</v>
      </c>
      <c r="D26">
        <v>311.95</v>
      </c>
      <c r="E26" t="s">
        <v>362</v>
      </c>
    </row>
    <row r="27" spans="1:5" x14ac:dyDescent="0.3">
      <c r="A27" t="s">
        <v>387</v>
      </c>
      <c r="B27">
        <v>0.12</v>
      </c>
      <c r="C27">
        <v>0</v>
      </c>
      <c r="D27">
        <v>12192.06</v>
      </c>
      <c r="E27" t="s">
        <v>362</v>
      </c>
    </row>
    <row r="28" spans="1:5" x14ac:dyDescent="0.3">
      <c r="A28" t="s">
        <v>388</v>
      </c>
      <c r="B28">
        <v>0.71</v>
      </c>
      <c r="C28">
        <v>0</v>
      </c>
      <c r="D28">
        <v>2100</v>
      </c>
      <c r="E28" t="s">
        <v>362</v>
      </c>
    </row>
    <row r="29" spans="1:5" x14ac:dyDescent="0.3">
      <c r="A29" t="s">
        <v>389</v>
      </c>
      <c r="B29">
        <v>83.33</v>
      </c>
      <c r="C29">
        <v>1.24</v>
      </c>
      <c r="D29">
        <v>17.939399999999999</v>
      </c>
      <c r="E29" t="s">
        <v>362</v>
      </c>
    </row>
    <row r="30" spans="1:5" x14ac:dyDescent="0.3">
      <c r="A30" t="s">
        <v>390</v>
      </c>
      <c r="B30">
        <v>281.35000000000002</v>
      </c>
      <c r="C30">
        <v>5.89</v>
      </c>
      <c r="D30">
        <v>5.3133999999999997</v>
      </c>
      <c r="E30" t="s">
        <v>362</v>
      </c>
    </row>
    <row r="31" spans="1:5" x14ac:dyDescent="0.3">
      <c r="A31" t="s">
        <v>391</v>
      </c>
      <c r="B31">
        <v>1.07</v>
      </c>
      <c r="C31">
        <v>0.01</v>
      </c>
      <c r="D31">
        <v>1391.5</v>
      </c>
      <c r="E31" t="s">
        <v>362</v>
      </c>
    </row>
    <row r="32" spans="1:5" x14ac:dyDescent="0.3">
      <c r="A32" t="s">
        <v>392</v>
      </c>
      <c r="B32">
        <v>1.61</v>
      </c>
      <c r="C32">
        <v>0.03</v>
      </c>
      <c r="D32">
        <v>927.1</v>
      </c>
      <c r="E32" t="s">
        <v>362</v>
      </c>
    </row>
    <row r="33" spans="1:5" x14ac:dyDescent="0.3">
      <c r="A33" t="s">
        <v>393</v>
      </c>
      <c r="B33">
        <v>0.4</v>
      </c>
      <c r="C33">
        <v>0.01</v>
      </c>
      <c r="D33">
        <v>3696.5349999999999</v>
      </c>
      <c r="E33" t="s">
        <v>362</v>
      </c>
    </row>
    <row r="34" spans="1:5" x14ac:dyDescent="0.3">
      <c r="A34" t="s">
        <v>394</v>
      </c>
      <c r="B34">
        <v>160.03</v>
      </c>
      <c r="C34">
        <v>1.28</v>
      </c>
      <c r="D34">
        <v>9.3415999999999997</v>
      </c>
      <c r="E34" t="s">
        <v>362</v>
      </c>
    </row>
    <row r="35" spans="1:5" x14ac:dyDescent="0.3">
      <c r="A35" t="s">
        <v>395</v>
      </c>
      <c r="B35">
        <v>231.34</v>
      </c>
      <c r="C35">
        <v>1.1200000000000001</v>
      </c>
      <c r="D35">
        <v>6.4618500000000001</v>
      </c>
      <c r="E35" t="s">
        <v>362</v>
      </c>
    </row>
    <row r="36" spans="1:5" x14ac:dyDescent="0.3">
      <c r="A36" t="s">
        <v>396</v>
      </c>
      <c r="B36">
        <v>156.18</v>
      </c>
      <c r="C36">
        <v>1.74</v>
      </c>
      <c r="D36">
        <v>9.5715000000000003</v>
      </c>
      <c r="E36" t="s">
        <v>362</v>
      </c>
    </row>
    <row r="37" spans="1:5" x14ac:dyDescent="0.3">
      <c r="A37" t="s">
        <v>397</v>
      </c>
      <c r="B37">
        <v>17.98</v>
      </c>
      <c r="C37">
        <v>0.56999999999999995</v>
      </c>
      <c r="D37">
        <v>83.125</v>
      </c>
      <c r="E37" t="s">
        <v>362</v>
      </c>
    </row>
    <row r="38" spans="1:5" x14ac:dyDescent="0.3">
      <c r="A38" t="s">
        <v>398</v>
      </c>
      <c r="B38">
        <v>4.4000000000000004</v>
      </c>
      <c r="C38">
        <v>0.04</v>
      </c>
      <c r="D38">
        <v>339.92</v>
      </c>
      <c r="E38" t="s">
        <v>362</v>
      </c>
    </row>
    <row r="39" spans="1:5" x14ac:dyDescent="0.3">
      <c r="A39" t="s">
        <v>399</v>
      </c>
      <c r="B39">
        <v>404.13</v>
      </c>
      <c r="C39">
        <v>2.76</v>
      </c>
      <c r="D39">
        <v>3.6991000000000001</v>
      </c>
      <c r="E39" t="s">
        <v>362</v>
      </c>
    </row>
    <row r="40" spans="1:5" x14ac:dyDescent="0.3">
      <c r="A40" t="s">
        <v>400</v>
      </c>
      <c r="B40">
        <v>70.69</v>
      </c>
      <c r="C40">
        <v>0.24</v>
      </c>
      <c r="D40">
        <v>21.146000000000001</v>
      </c>
      <c r="E40" t="s">
        <v>362</v>
      </c>
    </row>
    <row r="41" spans="1:5" x14ac:dyDescent="0.3">
      <c r="A41" t="s">
        <v>401</v>
      </c>
      <c r="B41">
        <v>339.63</v>
      </c>
      <c r="C41">
        <v>1.33</v>
      </c>
      <c r="D41">
        <v>4.4016000000000002</v>
      </c>
      <c r="E41" t="s">
        <v>362</v>
      </c>
    </row>
    <row r="42" spans="1:5" x14ac:dyDescent="0.3">
      <c r="A42" t="s">
        <v>402</v>
      </c>
      <c r="B42">
        <v>398.13</v>
      </c>
      <c r="C42">
        <v>1.32</v>
      </c>
      <c r="D42">
        <v>3.7547999999999999</v>
      </c>
      <c r="E42" t="s">
        <v>362</v>
      </c>
    </row>
    <row r="43" spans="1:5" x14ac:dyDescent="0.3">
      <c r="A43" t="s">
        <v>403</v>
      </c>
      <c r="B43">
        <v>409</v>
      </c>
      <c r="C43">
        <v>2.5099999999999998</v>
      </c>
      <c r="D43">
        <v>3.6549999999999998</v>
      </c>
      <c r="E43" t="s">
        <v>362</v>
      </c>
    </row>
    <row r="44" spans="1:5" x14ac:dyDescent="0.3">
      <c r="A44" t="s">
        <v>404</v>
      </c>
      <c r="B44">
        <v>476.71</v>
      </c>
      <c r="C44">
        <v>5.49</v>
      </c>
      <c r="D44">
        <v>3.1358999999999999</v>
      </c>
      <c r="E44" t="s">
        <v>362</v>
      </c>
    </row>
    <row r="45" spans="1:5" x14ac:dyDescent="0.3">
      <c r="A45" t="s">
        <v>405</v>
      </c>
      <c r="B45">
        <v>2108.46</v>
      </c>
      <c r="C45">
        <v>6.77</v>
      </c>
      <c r="D45">
        <v>0.70899999999999996</v>
      </c>
      <c r="E45" t="s">
        <v>362</v>
      </c>
    </row>
    <row r="46" spans="1:5" x14ac:dyDescent="0.3">
      <c r="A46" t="s">
        <v>406</v>
      </c>
      <c r="B46">
        <v>4875.7299999999996</v>
      </c>
      <c r="C46">
        <v>15.66</v>
      </c>
      <c r="D46">
        <v>0.30659999999999998</v>
      </c>
      <c r="E46" t="s">
        <v>362</v>
      </c>
    </row>
    <row r="47" spans="1:5" x14ac:dyDescent="0.3">
      <c r="A47" t="s">
        <v>407</v>
      </c>
      <c r="B47">
        <v>3959.48</v>
      </c>
      <c r="C47">
        <v>12.71</v>
      </c>
      <c r="D47">
        <v>0.37755</v>
      </c>
      <c r="E47" t="s">
        <v>362</v>
      </c>
    </row>
    <row r="48" spans="1:5" x14ac:dyDescent="0.3">
      <c r="A48" t="s">
        <v>408</v>
      </c>
      <c r="B48">
        <v>406.98</v>
      </c>
      <c r="C48">
        <v>1.28</v>
      </c>
      <c r="D48">
        <v>3.6731500000000001</v>
      </c>
      <c r="E48" t="s">
        <v>362</v>
      </c>
    </row>
    <row r="49" spans="1:5" x14ac:dyDescent="0.3">
      <c r="A49" t="s">
        <v>409</v>
      </c>
      <c r="B49">
        <v>33.729999999999997</v>
      </c>
      <c r="C49">
        <v>0.12</v>
      </c>
      <c r="D49">
        <v>44.314999999999998</v>
      </c>
      <c r="E49" t="s">
        <v>362</v>
      </c>
    </row>
    <row r="50" spans="1:5" x14ac:dyDescent="0.3">
      <c r="A50" t="s">
        <v>410</v>
      </c>
      <c r="B50">
        <v>3882.86</v>
      </c>
      <c r="C50">
        <v>12.46</v>
      </c>
      <c r="D50">
        <v>0.38500000000000001</v>
      </c>
      <c r="E50" t="s">
        <v>362</v>
      </c>
    </row>
    <row r="51" spans="1:5" x14ac:dyDescent="0.3">
      <c r="A51" t="s">
        <v>411</v>
      </c>
      <c r="B51">
        <v>87.51</v>
      </c>
      <c r="C51">
        <v>2.09</v>
      </c>
      <c r="D51">
        <v>17.083349999999999</v>
      </c>
      <c r="E51" t="s">
        <v>362</v>
      </c>
    </row>
    <row r="52" spans="1:5" x14ac:dyDescent="0.3">
      <c r="A52" t="s">
        <v>412</v>
      </c>
      <c r="B52">
        <v>28.62</v>
      </c>
      <c r="C52">
        <v>0.09</v>
      </c>
      <c r="D52">
        <v>52.24</v>
      </c>
      <c r="E52" t="s">
        <v>362</v>
      </c>
    </row>
    <row r="53" spans="1:5" x14ac:dyDescent="0.3">
      <c r="A53" t="s">
        <v>413</v>
      </c>
      <c r="B53">
        <v>11.54</v>
      </c>
      <c r="C53">
        <v>0.04</v>
      </c>
      <c r="D53">
        <v>129.55000000000001</v>
      </c>
      <c r="E53" t="s">
        <v>362</v>
      </c>
    </row>
    <row r="54" spans="1:5" x14ac:dyDescent="0.3">
      <c r="A54" t="s">
        <v>414</v>
      </c>
      <c r="B54">
        <v>233.51</v>
      </c>
      <c r="C54">
        <v>0.75</v>
      </c>
      <c r="D54">
        <v>6.4018499999999996</v>
      </c>
      <c r="E54" t="s">
        <v>362</v>
      </c>
    </row>
    <row r="55" spans="1:5" x14ac:dyDescent="0.3">
      <c r="A55" t="s">
        <v>415</v>
      </c>
      <c r="B55">
        <v>9.49</v>
      </c>
      <c r="C55">
        <v>0.03</v>
      </c>
      <c r="D55">
        <v>157.6011</v>
      </c>
      <c r="E55" t="s">
        <v>362</v>
      </c>
    </row>
    <row r="56" spans="1:5" x14ac:dyDescent="0.3">
      <c r="A56" t="s">
        <v>416</v>
      </c>
      <c r="B56">
        <v>666.87</v>
      </c>
      <c r="C56">
        <v>12.27</v>
      </c>
      <c r="D56">
        <v>0.4461</v>
      </c>
      <c r="E56" t="s">
        <v>363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880A-855C-40EB-A602-8B14C134E018}">
  <dimension ref="A2:K184"/>
  <sheetViews>
    <sheetView topLeftCell="A154" workbookViewId="0">
      <selection activeCell="B168" sqref="B168"/>
    </sheetView>
  </sheetViews>
  <sheetFormatPr defaultRowHeight="16.5" x14ac:dyDescent="0.3"/>
  <cols>
    <col min="1" max="1" width="11.625" bestFit="1" customWidth="1"/>
    <col min="2" max="2" width="14.625" customWidth="1"/>
    <col min="4" max="4" width="16.125" bestFit="1" customWidth="1"/>
    <col min="6" max="6" width="69.5" bestFit="1" customWidth="1"/>
    <col min="7" max="7" width="12" bestFit="1" customWidth="1"/>
    <col min="8" max="8" width="13.25" bestFit="1" customWidth="1"/>
    <col min="10" max="11" width="12" bestFit="1" customWidth="1"/>
  </cols>
  <sheetData>
    <row r="2" spans="1:11" x14ac:dyDescent="0.3">
      <c r="A2" s="42" t="s">
        <v>417</v>
      </c>
      <c r="B2" s="43" t="s">
        <v>418</v>
      </c>
      <c r="C2" s="43" t="s">
        <v>419</v>
      </c>
      <c r="D2" s="43" t="s">
        <v>420</v>
      </c>
      <c r="E2" s="43" t="s">
        <v>421</v>
      </c>
      <c r="F2" s="43" t="s">
        <v>422</v>
      </c>
      <c r="G2" s="43" t="s">
        <v>423</v>
      </c>
      <c r="H2" s="43"/>
      <c r="I2" s="43" t="s">
        <v>424</v>
      </c>
      <c r="J2" s="43" t="s">
        <v>425</v>
      </c>
      <c r="K2" s="43" t="s">
        <v>426</v>
      </c>
    </row>
    <row r="3" spans="1:11" x14ac:dyDescent="0.3">
      <c r="A3" s="48" t="s">
        <v>427</v>
      </c>
      <c r="B3" s="49" t="s">
        <v>427</v>
      </c>
      <c r="C3" s="49" t="s">
        <v>427</v>
      </c>
      <c r="D3" s="49" t="s">
        <v>427</v>
      </c>
      <c r="E3" s="49" t="s">
        <v>427</v>
      </c>
      <c r="F3" s="49" t="s">
        <v>427</v>
      </c>
      <c r="G3" s="49" t="s">
        <v>427</v>
      </c>
      <c r="H3" s="49"/>
      <c r="I3" s="49">
        <v>0</v>
      </c>
      <c r="J3" s="50">
        <v>2494347989</v>
      </c>
      <c r="K3" s="49" t="s">
        <v>427</v>
      </c>
    </row>
    <row r="4" spans="1:11" x14ac:dyDescent="0.3">
      <c r="A4" s="51">
        <v>45664</v>
      </c>
      <c r="B4" s="44" t="s">
        <v>428</v>
      </c>
      <c r="C4" s="44" t="s">
        <v>429</v>
      </c>
      <c r="D4" s="44" t="s">
        <v>430</v>
      </c>
      <c r="E4" s="44" t="s">
        <v>431</v>
      </c>
      <c r="F4" s="44" t="s">
        <v>432</v>
      </c>
      <c r="G4" s="44">
        <v>0</v>
      </c>
      <c r="H4" s="44"/>
      <c r="I4" s="44">
        <v>0</v>
      </c>
      <c r="J4" s="45">
        <v>22550083</v>
      </c>
      <c r="K4" s="45">
        <v>22550083</v>
      </c>
    </row>
    <row r="5" spans="1:11" x14ac:dyDescent="0.3">
      <c r="A5" s="51">
        <v>45673</v>
      </c>
      <c r="B5" s="44" t="s">
        <v>428</v>
      </c>
      <c r="C5" s="44" t="s">
        <v>429</v>
      </c>
      <c r="D5" s="44" t="s">
        <v>430</v>
      </c>
      <c r="E5" s="44" t="s">
        <v>433</v>
      </c>
      <c r="F5" s="44" t="s">
        <v>434</v>
      </c>
      <c r="G5" s="45">
        <v>22550083</v>
      </c>
      <c r="H5" s="45"/>
      <c r="I5" s="44">
        <v>0</v>
      </c>
      <c r="J5" s="45">
        <v>4642193</v>
      </c>
      <c r="K5" s="45">
        <v>27192276</v>
      </c>
    </row>
    <row r="6" spans="1:11" x14ac:dyDescent="0.3">
      <c r="A6" s="51">
        <v>45677</v>
      </c>
      <c r="B6" s="44" t="s">
        <v>428</v>
      </c>
      <c r="C6" s="44" t="s">
        <v>429</v>
      </c>
      <c r="D6" s="44" t="s">
        <v>430</v>
      </c>
      <c r="E6" s="44" t="s">
        <v>433</v>
      </c>
      <c r="F6" s="44" t="s">
        <v>435</v>
      </c>
      <c r="G6" s="45">
        <v>27192276</v>
      </c>
      <c r="H6" s="45"/>
      <c r="I6" s="44">
        <v>0</v>
      </c>
      <c r="J6" s="45">
        <v>17945</v>
      </c>
      <c r="K6" s="45">
        <v>27210221</v>
      </c>
    </row>
    <row r="7" spans="1:11" x14ac:dyDescent="0.3">
      <c r="A7" s="51">
        <v>45677</v>
      </c>
      <c r="B7" s="44" t="s">
        <v>436</v>
      </c>
      <c r="C7" s="44" t="s">
        <v>429</v>
      </c>
      <c r="D7" s="44" t="s">
        <v>430</v>
      </c>
      <c r="E7" s="44" t="s">
        <v>437</v>
      </c>
      <c r="F7" s="44" t="s">
        <v>438</v>
      </c>
      <c r="G7" s="45">
        <v>27210221</v>
      </c>
      <c r="H7" s="45"/>
      <c r="I7" s="44">
        <v>0</v>
      </c>
      <c r="J7" s="45">
        <v>12602</v>
      </c>
      <c r="K7" s="45">
        <v>27222823</v>
      </c>
    </row>
    <row r="8" spans="1:11" x14ac:dyDescent="0.3">
      <c r="A8" s="51">
        <v>45677</v>
      </c>
      <c r="B8" s="44" t="s">
        <v>436</v>
      </c>
      <c r="C8" s="44" t="s">
        <v>429</v>
      </c>
      <c r="D8" s="44" t="s">
        <v>430</v>
      </c>
      <c r="E8" s="44" t="s">
        <v>437</v>
      </c>
      <c r="F8" s="44" t="s">
        <v>439</v>
      </c>
      <c r="G8" s="45">
        <v>27222823</v>
      </c>
      <c r="H8" s="45"/>
      <c r="I8" s="44">
        <v>0</v>
      </c>
      <c r="J8" s="45">
        <v>50410</v>
      </c>
      <c r="K8" s="45">
        <v>27273233</v>
      </c>
    </row>
    <row r="9" spans="1:11" x14ac:dyDescent="0.3">
      <c r="A9" s="51">
        <v>45677</v>
      </c>
      <c r="B9" s="44" t="s">
        <v>436</v>
      </c>
      <c r="C9" s="44" t="s">
        <v>429</v>
      </c>
      <c r="D9" s="44" t="s">
        <v>430</v>
      </c>
      <c r="E9" s="44" t="s">
        <v>437</v>
      </c>
      <c r="F9" s="44" t="s">
        <v>440</v>
      </c>
      <c r="G9" s="45">
        <v>27273233</v>
      </c>
      <c r="H9" s="45"/>
      <c r="I9" s="44">
        <v>0</v>
      </c>
      <c r="J9" s="45">
        <v>75616</v>
      </c>
      <c r="K9" s="45">
        <v>27348849</v>
      </c>
    </row>
    <row r="10" spans="1:11" x14ac:dyDescent="0.3">
      <c r="A10" s="51">
        <v>45678</v>
      </c>
      <c r="B10" s="44" t="s">
        <v>428</v>
      </c>
      <c r="C10" s="44" t="s">
        <v>429</v>
      </c>
      <c r="D10" s="44" t="s">
        <v>430</v>
      </c>
      <c r="E10" s="44" t="s">
        <v>431</v>
      </c>
      <c r="F10" s="44" t="s">
        <v>441</v>
      </c>
      <c r="G10" s="45">
        <v>27348849</v>
      </c>
      <c r="H10" s="45"/>
      <c r="I10" s="44">
        <v>0</v>
      </c>
      <c r="J10" s="45">
        <v>4325634</v>
      </c>
      <c r="K10" s="45">
        <v>31674483</v>
      </c>
    </row>
    <row r="11" spans="1:11" x14ac:dyDescent="0.3">
      <c r="A11" s="51">
        <v>45688</v>
      </c>
      <c r="B11" s="44" t="s">
        <v>428</v>
      </c>
      <c r="C11" s="44" t="s">
        <v>429</v>
      </c>
      <c r="D11" s="44" t="s">
        <v>430</v>
      </c>
      <c r="E11" s="44" t="s">
        <v>433</v>
      </c>
      <c r="F11" s="44" t="s">
        <v>442</v>
      </c>
      <c r="G11" s="45">
        <v>31674483</v>
      </c>
      <c r="H11" s="45"/>
      <c r="I11" s="44">
        <v>0</v>
      </c>
      <c r="J11" s="45">
        <v>11464484</v>
      </c>
      <c r="K11" s="45">
        <v>43138967</v>
      </c>
    </row>
    <row r="12" spans="1:11" x14ac:dyDescent="0.3">
      <c r="A12" s="51">
        <v>45700</v>
      </c>
      <c r="B12" s="44" t="s">
        <v>428</v>
      </c>
      <c r="C12" s="44" t="s">
        <v>429</v>
      </c>
      <c r="D12" s="44" t="s">
        <v>430</v>
      </c>
      <c r="E12" s="44" t="s">
        <v>433</v>
      </c>
      <c r="F12" s="44" t="s">
        <v>443</v>
      </c>
      <c r="G12" s="45">
        <v>43138967</v>
      </c>
      <c r="H12" s="45"/>
      <c r="I12" s="44">
        <v>0</v>
      </c>
      <c r="J12" s="45">
        <v>26112193</v>
      </c>
      <c r="K12" s="45">
        <v>69251160</v>
      </c>
    </row>
    <row r="13" spans="1:11" x14ac:dyDescent="0.3">
      <c r="A13" s="51">
        <v>45705</v>
      </c>
      <c r="B13" s="44" t="s">
        <v>428</v>
      </c>
      <c r="C13" s="44" t="s">
        <v>429</v>
      </c>
      <c r="D13" s="44" t="s">
        <v>430</v>
      </c>
      <c r="E13" s="44" t="s">
        <v>433</v>
      </c>
      <c r="F13" s="44" t="s">
        <v>444</v>
      </c>
      <c r="G13" s="45">
        <v>69251160</v>
      </c>
      <c r="H13" s="45"/>
      <c r="I13" s="44">
        <v>0</v>
      </c>
      <c r="J13" s="45">
        <v>19398</v>
      </c>
      <c r="K13" s="45">
        <v>69270558</v>
      </c>
    </row>
    <row r="14" spans="1:11" x14ac:dyDescent="0.3">
      <c r="A14" s="51">
        <v>45708</v>
      </c>
      <c r="B14" s="44" t="s">
        <v>436</v>
      </c>
      <c r="C14" s="44" t="s">
        <v>429</v>
      </c>
      <c r="D14" s="44" t="s">
        <v>430</v>
      </c>
      <c r="E14" s="44" t="s">
        <v>437</v>
      </c>
      <c r="F14" s="44" t="s">
        <v>445</v>
      </c>
      <c r="G14" s="45">
        <v>69270558</v>
      </c>
      <c r="H14" s="45"/>
      <c r="I14" s="44">
        <v>0</v>
      </c>
      <c r="J14" s="45">
        <v>6931</v>
      </c>
      <c r="K14" s="45">
        <v>69277489</v>
      </c>
    </row>
    <row r="15" spans="1:11" x14ac:dyDescent="0.3">
      <c r="A15" s="51">
        <v>45708</v>
      </c>
      <c r="B15" s="44" t="s">
        <v>436</v>
      </c>
      <c r="C15" s="44" t="s">
        <v>429</v>
      </c>
      <c r="D15" s="44" t="s">
        <v>430</v>
      </c>
      <c r="E15" s="44" t="s">
        <v>437</v>
      </c>
      <c r="F15" s="44" t="s">
        <v>446</v>
      </c>
      <c r="G15" s="45">
        <v>69277489</v>
      </c>
      <c r="H15" s="45"/>
      <c r="I15" s="44">
        <v>0</v>
      </c>
      <c r="J15" s="45">
        <v>78136</v>
      </c>
      <c r="K15" s="45">
        <v>69355625</v>
      </c>
    </row>
    <row r="16" spans="1:11" x14ac:dyDescent="0.3">
      <c r="A16" s="51">
        <v>45708</v>
      </c>
      <c r="B16" s="44" t="s">
        <v>436</v>
      </c>
      <c r="C16" s="44" t="s">
        <v>429</v>
      </c>
      <c r="D16" s="44" t="s">
        <v>430</v>
      </c>
      <c r="E16" s="44" t="s">
        <v>437</v>
      </c>
      <c r="F16" s="44" t="s">
        <v>447</v>
      </c>
      <c r="G16" s="45">
        <v>69355625</v>
      </c>
      <c r="H16" s="45"/>
      <c r="I16" s="44">
        <v>0</v>
      </c>
      <c r="J16" s="45">
        <v>117205</v>
      </c>
      <c r="K16" s="45">
        <v>69472830</v>
      </c>
    </row>
    <row r="17" spans="1:11" x14ac:dyDescent="0.3">
      <c r="A17" s="51">
        <v>45709</v>
      </c>
      <c r="B17" s="44" t="s">
        <v>428</v>
      </c>
      <c r="C17" s="44" t="s">
        <v>429</v>
      </c>
      <c r="D17" s="44" t="s">
        <v>430</v>
      </c>
      <c r="E17" s="44" t="s">
        <v>433</v>
      </c>
      <c r="F17" s="44" t="s">
        <v>448</v>
      </c>
      <c r="G17" s="45">
        <v>69472830</v>
      </c>
      <c r="H17" s="45"/>
      <c r="I17" s="44">
        <v>0</v>
      </c>
      <c r="J17" s="45">
        <v>24504110</v>
      </c>
      <c r="K17" s="45">
        <v>93976940</v>
      </c>
    </row>
    <row r="18" spans="1:11" x14ac:dyDescent="0.3">
      <c r="A18" s="51">
        <v>45709</v>
      </c>
      <c r="B18" s="44" t="s">
        <v>428</v>
      </c>
      <c r="C18" s="44" t="s">
        <v>429</v>
      </c>
      <c r="D18" s="44" t="s">
        <v>430</v>
      </c>
      <c r="E18" s="44" t="s">
        <v>433</v>
      </c>
      <c r="F18" s="44" t="s">
        <v>449</v>
      </c>
      <c r="G18" s="45">
        <v>93976940</v>
      </c>
      <c r="H18" s="45"/>
      <c r="I18" s="44">
        <v>0</v>
      </c>
      <c r="J18" s="45">
        <v>24504110</v>
      </c>
      <c r="K18" s="45">
        <v>118481050</v>
      </c>
    </row>
    <row r="19" spans="1:11" x14ac:dyDescent="0.3">
      <c r="A19" s="51">
        <v>45709</v>
      </c>
      <c r="B19" s="44" t="s">
        <v>428</v>
      </c>
      <c r="C19" s="44" t="s">
        <v>429</v>
      </c>
      <c r="D19" s="44" t="s">
        <v>430</v>
      </c>
      <c r="E19" s="44" t="s">
        <v>433</v>
      </c>
      <c r="F19" s="44" t="s">
        <v>450</v>
      </c>
      <c r="G19" s="45">
        <v>118481050</v>
      </c>
      <c r="H19" s="45"/>
      <c r="I19" s="44">
        <v>0</v>
      </c>
      <c r="J19" s="45">
        <v>49008221</v>
      </c>
      <c r="K19" s="45">
        <v>167489271</v>
      </c>
    </row>
    <row r="20" spans="1:11" x14ac:dyDescent="0.3">
      <c r="A20" s="51">
        <v>45716</v>
      </c>
      <c r="B20" s="44" t="s">
        <v>428</v>
      </c>
      <c r="C20" s="44" t="s">
        <v>429</v>
      </c>
      <c r="D20" s="44" t="s">
        <v>430</v>
      </c>
      <c r="E20" s="44" t="s">
        <v>433</v>
      </c>
      <c r="F20" s="44" t="s">
        <v>442</v>
      </c>
      <c r="G20" s="45">
        <v>167489271</v>
      </c>
      <c r="H20" s="45"/>
      <c r="I20" s="44">
        <v>0</v>
      </c>
      <c r="J20" s="45">
        <v>9839681</v>
      </c>
      <c r="K20" s="45">
        <v>177328952</v>
      </c>
    </row>
    <row r="21" spans="1:11" x14ac:dyDescent="0.3">
      <c r="A21" s="51">
        <v>45727</v>
      </c>
      <c r="B21" s="44" t="s">
        <v>428</v>
      </c>
      <c r="C21" s="44" t="s">
        <v>429</v>
      </c>
      <c r="D21" s="44" t="s">
        <v>430</v>
      </c>
      <c r="E21" s="44" t="s">
        <v>433</v>
      </c>
      <c r="F21" s="44" t="s">
        <v>451</v>
      </c>
      <c r="G21" s="45">
        <v>177328952</v>
      </c>
      <c r="H21" s="45"/>
      <c r="I21" s="44">
        <v>0</v>
      </c>
      <c r="J21" s="45">
        <v>13616438</v>
      </c>
      <c r="K21" s="45">
        <v>190945390</v>
      </c>
    </row>
    <row r="22" spans="1:11" x14ac:dyDescent="0.3">
      <c r="A22" s="51">
        <v>45727</v>
      </c>
      <c r="B22" s="44" t="s">
        <v>428</v>
      </c>
      <c r="C22" s="44" t="s">
        <v>429</v>
      </c>
      <c r="D22" s="44" t="s">
        <v>430</v>
      </c>
      <c r="E22" s="44" t="s">
        <v>433</v>
      </c>
      <c r="F22" s="44" t="s">
        <v>452</v>
      </c>
      <c r="G22" s="45">
        <v>190945390</v>
      </c>
      <c r="H22" s="45"/>
      <c r="I22" s="44">
        <v>0</v>
      </c>
      <c r="J22" s="45">
        <v>6808220</v>
      </c>
      <c r="K22" s="45">
        <v>197753610</v>
      </c>
    </row>
    <row r="23" spans="1:11" x14ac:dyDescent="0.3">
      <c r="A23" s="51">
        <v>45731</v>
      </c>
      <c r="B23" s="44" t="s">
        <v>428</v>
      </c>
      <c r="C23" s="44" t="s">
        <v>429</v>
      </c>
      <c r="D23" s="44" t="s">
        <v>430</v>
      </c>
      <c r="E23" s="44" t="s">
        <v>433</v>
      </c>
      <c r="F23" s="44" t="s">
        <v>453</v>
      </c>
      <c r="G23" s="45">
        <v>197753610</v>
      </c>
      <c r="H23" s="45"/>
      <c r="I23" s="44">
        <v>0</v>
      </c>
      <c r="J23" s="44">
        <v>290</v>
      </c>
      <c r="K23" s="45">
        <v>197753900</v>
      </c>
    </row>
    <row r="24" spans="1:11" x14ac:dyDescent="0.3">
      <c r="A24" s="51">
        <v>45731</v>
      </c>
      <c r="B24" s="44" t="s">
        <v>428</v>
      </c>
      <c r="C24" s="44" t="s">
        <v>429</v>
      </c>
      <c r="D24" s="44" t="s">
        <v>430</v>
      </c>
      <c r="E24" s="44" t="s">
        <v>433</v>
      </c>
      <c r="F24" s="44" t="s">
        <v>454</v>
      </c>
      <c r="G24" s="45">
        <v>197753900</v>
      </c>
      <c r="H24" s="45"/>
      <c r="I24" s="44">
        <v>0</v>
      </c>
      <c r="J24" s="44">
        <v>960</v>
      </c>
      <c r="K24" s="45">
        <v>197754860</v>
      </c>
    </row>
    <row r="25" spans="1:11" x14ac:dyDescent="0.3">
      <c r="A25" s="51">
        <v>45732</v>
      </c>
      <c r="B25" s="44" t="s">
        <v>428</v>
      </c>
      <c r="C25" s="44" t="s">
        <v>429</v>
      </c>
      <c r="D25" s="44" t="s">
        <v>430</v>
      </c>
      <c r="E25" s="44" t="s">
        <v>455</v>
      </c>
      <c r="F25" s="44" t="s">
        <v>456</v>
      </c>
      <c r="G25" s="45">
        <v>197754860</v>
      </c>
      <c r="H25" s="45"/>
      <c r="I25" s="44">
        <v>0</v>
      </c>
      <c r="J25" s="45">
        <v>14001411</v>
      </c>
      <c r="K25" s="45">
        <v>211756271</v>
      </c>
    </row>
    <row r="26" spans="1:11" x14ac:dyDescent="0.3">
      <c r="A26" s="51">
        <v>45732</v>
      </c>
      <c r="B26" s="44" t="s">
        <v>428</v>
      </c>
      <c r="C26" s="44" t="s">
        <v>429</v>
      </c>
      <c r="D26" s="44" t="s">
        <v>430</v>
      </c>
      <c r="E26" s="44" t="s">
        <v>433</v>
      </c>
      <c r="F26" s="44" t="s">
        <v>457</v>
      </c>
      <c r="G26" s="45">
        <v>211756271</v>
      </c>
      <c r="H26" s="45"/>
      <c r="I26" s="44">
        <v>0</v>
      </c>
      <c r="J26" s="45">
        <v>22137</v>
      </c>
      <c r="K26" s="45">
        <v>211778408</v>
      </c>
    </row>
    <row r="27" spans="1:11" x14ac:dyDescent="0.3">
      <c r="A27" s="51">
        <v>45733</v>
      </c>
      <c r="B27" s="44" t="s">
        <v>458</v>
      </c>
      <c r="C27" s="44" t="s">
        <v>429</v>
      </c>
      <c r="D27" s="44" t="s">
        <v>430</v>
      </c>
      <c r="E27" s="44" t="s">
        <v>433</v>
      </c>
      <c r="F27" s="44" t="s">
        <v>444</v>
      </c>
      <c r="G27" s="45">
        <v>211778408</v>
      </c>
      <c r="H27" s="45"/>
      <c r="I27" s="44">
        <v>0</v>
      </c>
      <c r="J27" s="45">
        <v>20619</v>
      </c>
      <c r="K27" s="45">
        <v>211799027</v>
      </c>
    </row>
    <row r="28" spans="1:11" x14ac:dyDescent="0.3">
      <c r="A28" s="51">
        <v>45736</v>
      </c>
      <c r="B28" s="44" t="s">
        <v>459</v>
      </c>
      <c r="C28" s="44" t="s">
        <v>429</v>
      </c>
      <c r="D28" s="44" t="s">
        <v>430</v>
      </c>
      <c r="E28" s="44" t="s">
        <v>437</v>
      </c>
      <c r="F28" s="44" t="s">
        <v>460</v>
      </c>
      <c r="G28" s="45">
        <v>211799027</v>
      </c>
      <c r="H28" s="45"/>
      <c r="I28" s="44">
        <v>0</v>
      </c>
      <c r="J28" s="45">
        <v>98301</v>
      </c>
      <c r="K28" s="45">
        <v>211897328</v>
      </c>
    </row>
    <row r="29" spans="1:11" x14ac:dyDescent="0.3">
      <c r="A29" s="51">
        <v>45736</v>
      </c>
      <c r="B29" s="44" t="s">
        <v>459</v>
      </c>
      <c r="C29" s="44" t="s">
        <v>429</v>
      </c>
      <c r="D29" s="44" t="s">
        <v>430</v>
      </c>
      <c r="E29" s="44" t="s">
        <v>437</v>
      </c>
      <c r="F29" s="44" t="s">
        <v>461</v>
      </c>
      <c r="G29" s="45">
        <v>211897328</v>
      </c>
      <c r="H29" s="45"/>
      <c r="I29" s="44">
        <v>0</v>
      </c>
      <c r="J29" s="45">
        <v>147452</v>
      </c>
      <c r="K29" s="45">
        <v>212044780</v>
      </c>
    </row>
    <row r="30" spans="1:11" x14ac:dyDescent="0.3">
      <c r="A30" s="51">
        <v>45739</v>
      </c>
      <c r="B30" s="44" t="s">
        <v>428</v>
      </c>
      <c r="C30" s="44" t="s">
        <v>429</v>
      </c>
      <c r="D30" s="44" t="s">
        <v>430</v>
      </c>
      <c r="E30" s="44" t="s">
        <v>433</v>
      </c>
      <c r="F30" s="44" t="s">
        <v>462</v>
      </c>
      <c r="G30" s="45">
        <v>212044780</v>
      </c>
      <c r="H30" s="45"/>
      <c r="I30" s="44">
        <v>0</v>
      </c>
      <c r="J30" s="44">
        <v>646</v>
      </c>
      <c r="K30" s="45">
        <v>212045426</v>
      </c>
    </row>
    <row r="31" spans="1:11" x14ac:dyDescent="0.3">
      <c r="A31" s="51">
        <v>45739</v>
      </c>
      <c r="B31" s="44" t="s">
        <v>428</v>
      </c>
      <c r="C31" s="44" t="s">
        <v>429</v>
      </c>
      <c r="D31" s="44" t="s">
        <v>430</v>
      </c>
      <c r="E31" s="44" t="s">
        <v>431</v>
      </c>
      <c r="F31" s="44" t="s">
        <v>463</v>
      </c>
      <c r="G31" s="45">
        <v>212045426</v>
      </c>
      <c r="H31" s="45"/>
      <c r="I31" s="44">
        <v>0</v>
      </c>
      <c r="J31" s="45">
        <v>125721</v>
      </c>
      <c r="K31" s="45">
        <v>212171147</v>
      </c>
    </row>
    <row r="32" spans="1:11" x14ac:dyDescent="0.3">
      <c r="A32" s="51">
        <v>45739</v>
      </c>
      <c r="B32" s="44" t="s">
        <v>428</v>
      </c>
      <c r="C32" s="44" t="s">
        <v>429</v>
      </c>
      <c r="D32" s="44" t="s">
        <v>430</v>
      </c>
      <c r="E32" s="44" t="s">
        <v>431</v>
      </c>
      <c r="F32" s="44" t="s">
        <v>464</v>
      </c>
      <c r="G32" s="45">
        <v>212171147</v>
      </c>
      <c r="H32" s="45"/>
      <c r="I32" s="44">
        <v>0</v>
      </c>
      <c r="J32" s="44">
        <v>701</v>
      </c>
      <c r="K32" s="45">
        <v>212171848</v>
      </c>
    </row>
    <row r="33" spans="1:11" x14ac:dyDescent="0.3">
      <c r="A33" s="51">
        <v>45739</v>
      </c>
      <c r="B33" s="44" t="s">
        <v>428</v>
      </c>
      <c r="C33" s="44" t="s">
        <v>429</v>
      </c>
      <c r="D33" s="44" t="s">
        <v>430</v>
      </c>
      <c r="E33" s="44" t="s">
        <v>431</v>
      </c>
      <c r="F33" s="44" t="s">
        <v>465</v>
      </c>
      <c r="G33" s="45">
        <v>212171848</v>
      </c>
      <c r="H33" s="45"/>
      <c r="I33" s="44">
        <v>0</v>
      </c>
      <c r="J33" s="45">
        <v>9896</v>
      </c>
      <c r="K33" s="45">
        <v>212181744</v>
      </c>
    </row>
    <row r="34" spans="1:11" x14ac:dyDescent="0.3">
      <c r="A34" s="51">
        <v>45739</v>
      </c>
      <c r="B34" s="44" t="s">
        <v>428</v>
      </c>
      <c r="C34" s="44" t="s">
        <v>429</v>
      </c>
      <c r="D34" s="44" t="s">
        <v>430</v>
      </c>
      <c r="E34" s="44" t="s">
        <v>431</v>
      </c>
      <c r="F34" s="44" t="s">
        <v>466</v>
      </c>
      <c r="G34" s="45">
        <v>212181744</v>
      </c>
      <c r="H34" s="45"/>
      <c r="I34" s="44">
        <v>0</v>
      </c>
      <c r="J34" s="45">
        <v>42811438</v>
      </c>
      <c r="K34" s="45">
        <v>254993182</v>
      </c>
    </row>
    <row r="35" spans="1:11" x14ac:dyDescent="0.3">
      <c r="A35" s="51">
        <v>45747</v>
      </c>
      <c r="B35" s="44" t="s">
        <v>458</v>
      </c>
      <c r="C35" s="44" t="s">
        <v>429</v>
      </c>
      <c r="D35" s="44" t="s">
        <v>430</v>
      </c>
      <c r="E35" s="44" t="s">
        <v>433</v>
      </c>
      <c r="F35" s="44" t="s">
        <v>467</v>
      </c>
      <c r="G35" s="45">
        <v>254993182</v>
      </c>
      <c r="H35" s="45"/>
      <c r="I35" s="44">
        <v>0</v>
      </c>
      <c r="J35" s="45">
        <v>259119530</v>
      </c>
      <c r="K35" s="45">
        <v>514112712</v>
      </c>
    </row>
    <row r="36" spans="1:11" x14ac:dyDescent="0.3">
      <c r="A36" s="51">
        <v>45747</v>
      </c>
      <c r="B36" s="44" t="s">
        <v>458</v>
      </c>
      <c r="C36" s="44" t="s">
        <v>429</v>
      </c>
      <c r="D36" s="44" t="s">
        <v>430</v>
      </c>
      <c r="E36" s="44" t="s">
        <v>431</v>
      </c>
      <c r="F36" s="44" t="s">
        <v>467</v>
      </c>
      <c r="G36" s="45">
        <v>514112712</v>
      </c>
      <c r="H36" s="45"/>
      <c r="I36" s="44">
        <v>0</v>
      </c>
      <c r="J36" s="45">
        <v>157122397</v>
      </c>
      <c r="K36" s="45">
        <v>671235109</v>
      </c>
    </row>
    <row r="37" spans="1:11" x14ac:dyDescent="0.3">
      <c r="A37" s="51">
        <v>45747</v>
      </c>
      <c r="B37" s="44" t="s">
        <v>428</v>
      </c>
      <c r="C37" s="44" t="s">
        <v>429</v>
      </c>
      <c r="D37" s="44" t="s">
        <v>430</v>
      </c>
      <c r="E37" s="44" t="s">
        <v>433</v>
      </c>
      <c r="F37" s="44" t="s">
        <v>442</v>
      </c>
      <c r="G37" s="45">
        <v>671235109</v>
      </c>
      <c r="H37" s="45"/>
      <c r="I37" s="44">
        <v>0</v>
      </c>
      <c r="J37" s="45">
        <v>6156702</v>
      </c>
      <c r="K37" s="45">
        <v>677391811</v>
      </c>
    </row>
    <row r="38" spans="1:11" x14ac:dyDescent="0.3">
      <c r="A38" s="51">
        <v>45747</v>
      </c>
      <c r="B38" s="44" t="s">
        <v>468</v>
      </c>
      <c r="C38" s="44" t="s">
        <v>469</v>
      </c>
      <c r="D38" s="44" t="s">
        <v>430</v>
      </c>
      <c r="E38" s="44" t="s">
        <v>433</v>
      </c>
      <c r="F38" s="44" t="s">
        <v>470</v>
      </c>
      <c r="G38" s="45">
        <v>677391811</v>
      </c>
      <c r="H38" s="45"/>
      <c r="I38" s="44">
        <v>0</v>
      </c>
      <c r="J38" s="45">
        <v>1483</v>
      </c>
      <c r="K38" s="45">
        <v>677393294</v>
      </c>
    </row>
    <row r="39" spans="1:11" x14ac:dyDescent="0.3">
      <c r="A39" s="51">
        <v>45747</v>
      </c>
      <c r="B39" s="44" t="s">
        <v>428</v>
      </c>
      <c r="C39" s="44" t="s">
        <v>429</v>
      </c>
      <c r="D39" s="44" t="s">
        <v>430</v>
      </c>
      <c r="E39" s="44" t="s">
        <v>471</v>
      </c>
      <c r="F39" s="44" t="s">
        <v>472</v>
      </c>
      <c r="G39" s="45">
        <v>677393294</v>
      </c>
      <c r="H39" s="45"/>
      <c r="I39" s="44">
        <v>0</v>
      </c>
      <c r="J39" s="45">
        <v>5702291</v>
      </c>
      <c r="K39" s="45">
        <v>683095585</v>
      </c>
    </row>
    <row r="40" spans="1:11" x14ac:dyDescent="0.3">
      <c r="A40" s="51">
        <v>45747</v>
      </c>
      <c r="B40" s="44" t="s">
        <v>458</v>
      </c>
      <c r="C40" s="44" t="s">
        <v>429</v>
      </c>
      <c r="D40" s="44" t="s">
        <v>430</v>
      </c>
      <c r="E40" s="44" t="s">
        <v>471</v>
      </c>
      <c r="F40" s="44" t="s">
        <v>473</v>
      </c>
      <c r="G40" s="45">
        <v>683095585</v>
      </c>
      <c r="H40" s="45"/>
      <c r="I40" s="44">
        <v>0</v>
      </c>
      <c r="J40" s="45">
        <v>8310279</v>
      </c>
      <c r="K40" s="45">
        <v>691405864</v>
      </c>
    </row>
    <row r="41" spans="1:11" x14ac:dyDescent="0.3">
      <c r="A41" s="51">
        <v>45755</v>
      </c>
      <c r="B41" s="44" t="s">
        <v>428</v>
      </c>
      <c r="C41" s="44" t="s">
        <v>429</v>
      </c>
      <c r="D41" s="44" t="s">
        <v>430</v>
      </c>
      <c r="E41" s="44" t="s">
        <v>433</v>
      </c>
      <c r="F41" s="44" t="s">
        <v>474</v>
      </c>
      <c r="G41" s="45">
        <v>691405864</v>
      </c>
      <c r="H41" s="45"/>
      <c r="I41" s="44">
        <v>0</v>
      </c>
      <c r="J41" s="45">
        <v>1534249</v>
      </c>
      <c r="K41" s="45">
        <v>692940113</v>
      </c>
    </row>
    <row r="42" spans="1:11" x14ac:dyDescent="0.3">
      <c r="A42" s="51">
        <v>45755</v>
      </c>
      <c r="B42" s="44" t="s">
        <v>428</v>
      </c>
      <c r="C42" s="44" t="s">
        <v>429</v>
      </c>
      <c r="D42" s="44" t="s">
        <v>430</v>
      </c>
      <c r="E42" s="44" t="s">
        <v>431</v>
      </c>
      <c r="F42" s="44" t="s">
        <v>475</v>
      </c>
      <c r="G42" s="45">
        <v>692940113</v>
      </c>
      <c r="H42" s="45"/>
      <c r="I42" s="44">
        <v>0</v>
      </c>
      <c r="J42" s="45">
        <v>15262344</v>
      </c>
      <c r="K42" s="45">
        <v>708202457</v>
      </c>
    </row>
    <row r="43" spans="1:11" x14ac:dyDescent="0.3">
      <c r="A43" s="51">
        <v>45763</v>
      </c>
      <c r="B43" s="44" t="s">
        <v>458</v>
      </c>
      <c r="C43" s="44" t="s">
        <v>429</v>
      </c>
      <c r="D43" s="44" t="s">
        <v>430</v>
      </c>
      <c r="E43" s="44" t="s">
        <v>433</v>
      </c>
      <c r="F43" s="44" t="s">
        <v>476</v>
      </c>
      <c r="G43" s="45">
        <v>708202457</v>
      </c>
      <c r="H43" s="45"/>
      <c r="I43" s="44">
        <v>0</v>
      </c>
      <c r="J43" s="45">
        <v>25475508</v>
      </c>
      <c r="K43" s="45">
        <v>733677965</v>
      </c>
    </row>
    <row r="44" spans="1:11" x14ac:dyDescent="0.3">
      <c r="A44" s="51">
        <v>45765</v>
      </c>
      <c r="B44" s="44" t="s">
        <v>459</v>
      </c>
      <c r="C44" s="44" t="s">
        <v>429</v>
      </c>
      <c r="D44" s="44" t="s">
        <v>430</v>
      </c>
      <c r="E44" s="44" t="s">
        <v>437</v>
      </c>
      <c r="F44" s="44" t="s">
        <v>477</v>
      </c>
      <c r="G44" s="45">
        <v>733677965</v>
      </c>
      <c r="H44" s="45"/>
      <c r="I44" s="44">
        <v>0</v>
      </c>
      <c r="J44" s="45">
        <v>47890</v>
      </c>
      <c r="K44" s="45">
        <v>733725855</v>
      </c>
    </row>
    <row r="45" spans="1:11" x14ac:dyDescent="0.3">
      <c r="A45" s="51">
        <v>45765</v>
      </c>
      <c r="B45" s="44" t="s">
        <v>459</v>
      </c>
      <c r="C45" s="44" t="s">
        <v>429</v>
      </c>
      <c r="D45" s="44" t="s">
        <v>430</v>
      </c>
      <c r="E45" s="44" t="s">
        <v>437</v>
      </c>
      <c r="F45" s="44" t="s">
        <v>478</v>
      </c>
      <c r="G45" s="45">
        <v>733725855</v>
      </c>
      <c r="H45" s="45"/>
      <c r="I45" s="44">
        <v>0</v>
      </c>
      <c r="J45" s="45">
        <v>71835</v>
      </c>
      <c r="K45" s="45">
        <v>733797690</v>
      </c>
    </row>
    <row r="46" spans="1:11" x14ac:dyDescent="0.3">
      <c r="A46" s="51">
        <v>45768</v>
      </c>
      <c r="B46" s="44" t="s">
        <v>428</v>
      </c>
      <c r="C46" s="44" t="s">
        <v>429</v>
      </c>
      <c r="D46" s="44" t="s">
        <v>430</v>
      </c>
      <c r="E46" s="44" t="s">
        <v>433</v>
      </c>
      <c r="F46" s="44" t="s">
        <v>444</v>
      </c>
      <c r="G46" s="45">
        <v>733797690</v>
      </c>
      <c r="H46" s="45"/>
      <c r="I46" s="44">
        <v>0</v>
      </c>
      <c r="J46" s="45">
        <v>33327</v>
      </c>
      <c r="K46" s="45">
        <v>733831017</v>
      </c>
    </row>
    <row r="47" spans="1:11" x14ac:dyDescent="0.3">
      <c r="A47" s="51">
        <v>45777</v>
      </c>
      <c r="B47" s="44" t="s">
        <v>428</v>
      </c>
      <c r="C47" s="44" t="s">
        <v>429</v>
      </c>
      <c r="D47" s="44" t="s">
        <v>430</v>
      </c>
      <c r="E47" s="44" t="s">
        <v>433</v>
      </c>
      <c r="F47" s="44" t="s">
        <v>442</v>
      </c>
      <c r="G47" s="45">
        <v>733831017</v>
      </c>
      <c r="H47" s="45"/>
      <c r="I47" s="44">
        <v>0</v>
      </c>
      <c r="J47" s="45">
        <v>10253417</v>
      </c>
      <c r="K47" s="45">
        <v>744084434</v>
      </c>
    </row>
    <row r="48" spans="1:11" x14ac:dyDescent="0.3">
      <c r="A48" s="51">
        <v>45792</v>
      </c>
      <c r="B48" s="44" t="s">
        <v>428</v>
      </c>
      <c r="C48" s="44" t="s">
        <v>429</v>
      </c>
      <c r="D48" s="44" t="s">
        <v>430</v>
      </c>
      <c r="E48" s="44" t="s">
        <v>433</v>
      </c>
      <c r="F48" s="44" t="s">
        <v>443</v>
      </c>
      <c r="G48" s="45">
        <v>744084434</v>
      </c>
      <c r="H48" s="45"/>
      <c r="I48" s="44">
        <v>0</v>
      </c>
      <c r="J48" s="45">
        <v>24602056</v>
      </c>
      <c r="K48" s="45">
        <v>768686490</v>
      </c>
    </row>
    <row r="49" spans="1:11" x14ac:dyDescent="0.3">
      <c r="A49" s="51">
        <v>45792</v>
      </c>
      <c r="B49" s="44" t="s">
        <v>428</v>
      </c>
      <c r="C49" s="44" t="s">
        <v>429</v>
      </c>
      <c r="D49" s="44" t="s">
        <v>430</v>
      </c>
      <c r="E49" s="44" t="s">
        <v>433</v>
      </c>
      <c r="F49" s="44" t="s">
        <v>479</v>
      </c>
      <c r="G49" s="45">
        <v>768686490</v>
      </c>
      <c r="H49" s="45"/>
      <c r="I49" s="44">
        <v>0</v>
      </c>
      <c r="J49" s="45">
        <v>12176496</v>
      </c>
      <c r="K49" s="45">
        <v>780862986</v>
      </c>
    </row>
    <row r="50" spans="1:11" x14ac:dyDescent="0.3">
      <c r="A50" s="51">
        <v>45796</v>
      </c>
      <c r="B50" s="44" t="s">
        <v>458</v>
      </c>
      <c r="C50" s="44" t="s">
        <v>429</v>
      </c>
      <c r="D50" s="44" t="s">
        <v>430</v>
      </c>
      <c r="E50" s="44" t="s">
        <v>433</v>
      </c>
      <c r="F50" s="44" t="s">
        <v>444</v>
      </c>
      <c r="G50" s="45">
        <v>780862986</v>
      </c>
      <c r="H50" s="45"/>
      <c r="I50" s="44">
        <v>0</v>
      </c>
      <c r="J50" s="45">
        <v>23017</v>
      </c>
      <c r="K50" s="45">
        <v>780886003</v>
      </c>
    </row>
    <row r="51" spans="1:11" x14ac:dyDescent="0.3">
      <c r="A51" s="51">
        <v>45797</v>
      </c>
      <c r="B51" s="44" t="s">
        <v>459</v>
      </c>
      <c r="C51" s="44" t="s">
        <v>429</v>
      </c>
      <c r="D51" s="44" t="s">
        <v>430</v>
      </c>
      <c r="E51" s="44" t="s">
        <v>437</v>
      </c>
      <c r="F51" s="44" t="s">
        <v>480</v>
      </c>
      <c r="G51" s="45">
        <v>780886003</v>
      </c>
      <c r="H51" s="45"/>
      <c r="I51" s="44">
        <v>0</v>
      </c>
      <c r="J51" s="45">
        <v>73095</v>
      </c>
      <c r="K51" s="45">
        <v>780959098</v>
      </c>
    </row>
    <row r="52" spans="1:11" x14ac:dyDescent="0.3">
      <c r="A52" s="51">
        <v>45797</v>
      </c>
      <c r="B52" s="44" t="s">
        <v>459</v>
      </c>
      <c r="C52" s="44" t="s">
        <v>429</v>
      </c>
      <c r="D52" s="44" t="s">
        <v>430</v>
      </c>
      <c r="E52" s="44" t="s">
        <v>437</v>
      </c>
      <c r="F52" s="44" t="s">
        <v>481</v>
      </c>
      <c r="G52" s="45">
        <v>780959098</v>
      </c>
      <c r="H52" s="45"/>
      <c r="I52" s="44">
        <v>0</v>
      </c>
      <c r="J52" s="45">
        <v>109643</v>
      </c>
      <c r="K52" s="45">
        <v>781068741</v>
      </c>
    </row>
    <row r="53" spans="1:11" x14ac:dyDescent="0.3">
      <c r="A53" s="51">
        <v>45822</v>
      </c>
      <c r="B53" s="44" t="s">
        <v>458</v>
      </c>
      <c r="C53" s="44" t="s">
        <v>429</v>
      </c>
      <c r="D53" s="44" t="s">
        <v>430</v>
      </c>
      <c r="E53" s="44" t="s">
        <v>433</v>
      </c>
      <c r="F53" s="44" t="s">
        <v>453</v>
      </c>
      <c r="G53" s="45">
        <v>781068741</v>
      </c>
      <c r="H53" s="45"/>
      <c r="I53" s="44">
        <v>0</v>
      </c>
      <c r="J53" s="44">
        <v>106</v>
      </c>
      <c r="K53" s="45">
        <v>781068847</v>
      </c>
    </row>
    <row r="54" spans="1:11" x14ac:dyDescent="0.3">
      <c r="A54" s="51">
        <v>45824</v>
      </c>
      <c r="B54" s="44" t="s">
        <v>458</v>
      </c>
      <c r="C54" s="44" t="s">
        <v>429</v>
      </c>
      <c r="D54" s="44" t="s">
        <v>430</v>
      </c>
      <c r="E54" s="44" t="s">
        <v>433</v>
      </c>
      <c r="F54" s="44" t="s">
        <v>444</v>
      </c>
      <c r="G54" s="45">
        <v>781068847</v>
      </c>
      <c r="H54" s="45"/>
      <c r="I54" s="44">
        <v>0</v>
      </c>
      <c r="J54" s="45">
        <v>17604</v>
      </c>
      <c r="K54" s="45">
        <v>781086451</v>
      </c>
    </row>
    <row r="55" spans="1:11" x14ac:dyDescent="0.3">
      <c r="A55" s="51">
        <v>45828</v>
      </c>
      <c r="B55" s="44" t="s">
        <v>459</v>
      </c>
      <c r="C55" s="44" t="s">
        <v>429</v>
      </c>
      <c r="D55" s="44" t="s">
        <v>430</v>
      </c>
      <c r="E55" s="44" t="s">
        <v>437</v>
      </c>
      <c r="F55" s="44" t="s">
        <v>482</v>
      </c>
      <c r="G55" s="45">
        <v>781086451</v>
      </c>
      <c r="H55" s="45"/>
      <c r="I55" s="44">
        <v>0</v>
      </c>
      <c r="J55" s="45">
        <v>100821</v>
      </c>
      <c r="K55" s="45">
        <v>781187272</v>
      </c>
    </row>
    <row r="56" spans="1:11" x14ac:dyDescent="0.3">
      <c r="A56" s="51">
        <v>45828</v>
      </c>
      <c r="B56" s="44" t="s">
        <v>459</v>
      </c>
      <c r="C56" s="44" t="s">
        <v>429</v>
      </c>
      <c r="D56" s="44" t="s">
        <v>430</v>
      </c>
      <c r="E56" s="44" t="s">
        <v>437</v>
      </c>
      <c r="F56" s="44" t="s">
        <v>483</v>
      </c>
      <c r="G56" s="45">
        <v>781187272</v>
      </c>
      <c r="H56" s="45"/>
      <c r="I56" s="44">
        <v>0</v>
      </c>
      <c r="J56" s="45">
        <v>151232</v>
      </c>
      <c r="K56" s="45">
        <v>781338504</v>
      </c>
    </row>
    <row r="57" spans="1:11" x14ac:dyDescent="0.3">
      <c r="A57" s="51">
        <v>45829</v>
      </c>
      <c r="B57" s="44" t="s">
        <v>458</v>
      </c>
      <c r="C57" s="44" t="s">
        <v>429</v>
      </c>
      <c r="D57" s="44" t="s">
        <v>430</v>
      </c>
      <c r="E57" s="44" t="s">
        <v>433</v>
      </c>
      <c r="F57" s="44" t="s">
        <v>484</v>
      </c>
      <c r="G57" s="45">
        <v>781338504</v>
      </c>
      <c r="H57" s="45"/>
      <c r="I57" s="44">
        <v>0</v>
      </c>
      <c r="J57" s="45">
        <v>5397</v>
      </c>
      <c r="K57" s="45">
        <v>781343901</v>
      </c>
    </row>
    <row r="58" spans="1:11" x14ac:dyDescent="0.3">
      <c r="A58" s="51">
        <v>45829</v>
      </c>
      <c r="B58" s="44" t="s">
        <v>458</v>
      </c>
      <c r="C58" s="44" t="s">
        <v>429</v>
      </c>
      <c r="D58" s="44" t="s">
        <v>430</v>
      </c>
      <c r="E58" s="44" t="s">
        <v>433</v>
      </c>
      <c r="F58" s="44" t="s">
        <v>462</v>
      </c>
      <c r="G58" s="45">
        <v>781343901</v>
      </c>
      <c r="H58" s="45"/>
      <c r="I58" s="44">
        <v>0</v>
      </c>
      <c r="J58" s="44">
        <v>1</v>
      </c>
      <c r="K58" s="45">
        <v>781343902</v>
      </c>
    </row>
    <row r="59" spans="1:11" x14ac:dyDescent="0.3">
      <c r="A59" s="51">
        <v>45829</v>
      </c>
      <c r="B59" s="44" t="s">
        <v>458</v>
      </c>
      <c r="C59" s="44" t="s">
        <v>429</v>
      </c>
      <c r="D59" s="44" t="s">
        <v>430</v>
      </c>
      <c r="E59" s="44" t="s">
        <v>433</v>
      </c>
      <c r="F59" s="44" t="s">
        <v>485</v>
      </c>
      <c r="G59" s="45">
        <v>781343902</v>
      </c>
      <c r="H59" s="45"/>
      <c r="I59" s="44">
        <v>0</v>
      </c>
      <c r="J59" s="45">
        <v>3267</v>
      </c>
      <c r="K59" s="45">
        <v>781347169</v>
      </c>
    </row>
    <row r="60" spans="1:11" x14ac:dyDescent="0.3">
      <c r="A60" s="51">
        <v>45829</v>
      </c>
      <c r="B60" s="44" t="s">
        <v>458</v>
      </c>
      <c r="C60" s="44" t="s">
        <v>429</v>
      </c>
      <c r="D60" s="44" t="s">
        <v>430</v>
      </c>
      <c r="E60" s="44" t="s">
        <v>433</v>
      </c>
      <c r="F60" s="44" t="s">
        <v>454</v>
      </c>
      <c r="G60" s="45">
        <v>781347169</v>
      </c>
      <c r="H60" s="45"/>
      <c r="I60" s="44">
        <v>0</v>
      </c>
      <c r="J60" s="44">
        <v>855</v>
      </c>
      <c r="K60" s="45">
        <v>781348024</v>
      </c>
    </row>
    <row r="61" spans="1:11" x14ac:dyDescent="0.3">
      <c r="A61" s="51">
        <v>45829</v>
      </c>
      <c r="B61" s="44" t="s">
        <v>458</v>
      </c>
      <c r="C61" s="44" t="s">
        <v>429</v>
      </c>
      <c r="D61" s="44" t="s">
        <v>430</v>
      </c>
      <c r="E61" s="44" t="s">
        <v>433</v>
      </c>
      <c r="F61" s="44" t="s">
        <v>486</v>
      </c>
      <c r="G61" s="45">
        <v>781348024</v>
      </c>
      <c r="H61" s="45"/>
      <c r="I61" s="44">
        <v>0</v>
      </c>
      <c r="J61" s="44">
        <v>518</v>
      </c>
      <c r="K61" s="45">
        <v>781348542</v>
      </c>
    </row>
    <row r="62" spans="1:11" x14ac:dyDescent="0.3">
      <c r="A62" s="51">
        <v>45829</v>
      </c>
      <c r="B62" s="44" t="s">
        <v>458</v>
      </c>
      <c r="C62" s="44" t="s">
        <v>429</v>
      </c>
      <c r="D62" s="44" t="s">
        <v>430</v>
      </c>
      <c r="E62" s="44" t="s">
        <v>433</v>
      </c>
      <c r="F62" s="44" t="s">
        <v>487</v>
      </c>
      <c r="G62" s="45">
        <v>781348542</v>
      </c>
      <c r="H62" s="45"/>
      <c r="I62" s="44">
        <v>0</v>
      </c>
      <c r="J62" s="44">
        <v>493</v>
      </c>
      <c r="K62" s="45">
        <v>781349035</v>
      </c>
    </row>
    <row r="63" spans="1:11" x14ac:dyDescent="0.3">
      <c r="A63" s="51">
        <v>45830</v>
      </c>
      <c r="B63" s="44" t="s">
        <v>458</v>
      </c>
      <c r="C63" s="44" t="s">
        <v>429</v>
      </c>
      <c r="D63" s="44" t="s">
        <v>430</v>
      </c>
      <c r="E63" s="44" t="s">
        <v>455</v>
      </c>
      <c r="F63" s="44" t="s">
        <v>456</v>
      </c>
      <c r="G63" s="45">
        <v>781349035</v>
      </c>
      <c r="H63" s="45"/>
      <c r="I63" s="44">
        <v>0</v>
      </c>
      <c r="J63" s="45">
        <v>13296515</v>
      </c>
      <c r="K63" s="45">
        <v>794645550</v>
      </c>
    </row>
    <row r="64" spans="1:11" x14ac:dyDescent="0.3">
      <c r="A64" s="51">
        <v>45830</v>
      </c>
      <c r="B64" s="44" t="s">
        <v>458</v>
      </c>
      <c r="C64" s="44" t="s">
        <v>429</v>
      </c>
      <c r="D64" s="44" t="s">
        <v>430</v>
      </c>
      <c r="E64" s="44" t="s">
        <v>433</v>
      </c>
      <c r="F64" s="44" t="s">
        <v>457</v>
      </c>
      <c r="G64" s="45">
        <v>794645550</v>
      </c>
      <c r="H64" s="45"/>
      <c r="I64" s="44">
        <v>0</v>
      </c>
      <c r="J64" s="45">
        <v>43091</v>
      </c>
      <c r="K64" s="45">
        <v>794688641</v>
      </c>
    </row>
    <row r="65" spans="1:11" x14ac:dyDescent="0.3">
      <c r="A65" s="51">
        <v>45830</v>
      </c>
      <c r="B65" s="44" t="s">
        <v>458</v>
      </c>
      <c r="C65" s="44" t="s">
        <v>429</v>
      </c>
      <c r="D65" s="44" t="s">
        <v>430</v>
      </c>
      <c r="E65" s="44" t="s">
        <v>433</v>
      </c>
      <c r="F65" s="44" t="s">
        <v>462</v>
      </c>
      <c r="G65" s="45">
        <v>794688641</v>
      </c>
      <c r="H65" s="45"/>
      <c r="I65" s="44">
        <v>0</v>
      </c>
      <c r="J65" s="45">
        <v>6091</v>
      </c>
      <c r="K65" s="45">
        <v>794694732</v>
      </c>
    </row>
    <row r="66" spans="1:11" x14ac:dyDescent="0.3">
      <c r="A66" s="51">
        <v>45833</v>
      </c>
      <c r="B66" s="44" t="s">
        <v>458</v>
      </c>
      <c r="C66" s="44" t="s">
        <v>429</v>
      </c>
      <c r="D66" s="44" t="s">
        <v>430</v>
      </c>
      <c r="E66" s="44" t="s">
        <v>433</v>
      </c>
      <c r="F66" s="44" t="s">
        <v>488</v>
      </c>
      <c r="G66" s="45">
        <v>794694732</v>
      </c>
      <c r="H66" s="45"/>
      <c r="I66" s="44">
        <v>0</v>
      </c>
      <c r="J66" s="45">
        <v>6785755</v>
      </c>
      <c r="K66" s="45">
        <v>801480487</v>
      </c>
    </row>
    <row r="67" spans="1:11" x14ac:dyDescent="0.3">
      <c r="A67" s="51">
        <v>45837</v>
      </c>
      <c r="B67" s="44" t="s">
        <v>458</v>
      </c>
      <c r="C67" s="44" t="s">
        <v>429</v>
      </c>
      <c r="D67" s="44" t="s">
        <v>430</v>
      </c>
      <c r="E67" s="44" t="s">
        <v>431</v>
      </c>
      <c r="F67" s="44" t="s">
        <v>489</v>
      </c>
      <c r="G67" s="45">
        <v>801480487</v>
      </c>
      <c r="H67" s="45"/>
      <c r="I67" s="44">
        <v>0</v>
      </c>
      <c r="J67" s="45">
        <v>141137</v>
      </c>
      <c r="K67" s="45">
        <v>801621624</v>
      </c>
    </row>
    <row r="68" spans="1:11" x14ac:dyDescent="0.3">
      <c r="A68" s="51">
        <v>45837</v>
      </c>
      <c r="B68" s="44" t="s">
        <v>458</v>
      </c>
      <c r="C68" s="44" t="s">
        <v>429</v>
      </c>
      <c r="D68" s="44" t="s">
        <v>430</v>
      </c>
      <c r="E68" s="44" t="s">
        <v>431</v>
      </c>
      <c r="F68" s="44" t="s">
        <v>490</v>
      </c>
      <c r="G68" s="45">
        <v>801621624</v>
      </c>
      <c r="H68" s="45"/>
      <c r="I68" s="44">
        <v>0</v>
      </c>
      <c r="J68" s="44">
        <v>746</v>
      </c>
      <c r="K68" s="45">
        <v>801622370</v>
      </c>
    </row>
    <row r="69" spans="1:11" x14ac:dyDescent="0.3">
      <c r="A69" s="51">
        <v>45837</v>
      </c>
      <c r="B69" s="44" t="s">
        <v>458</v>
      </c>
      <c r="C69" s="44" t="s">
        <v>429</v>
      </c>
      <c r="D69" s="44" t="s">
        <v>430</v>
      </c>
      <c r="E69" s="44" t="s">
        <v>431</v>
      </c>
      <c r="F69" s="44" t="s">
        <v>491</v>
      </c>
      <c r="G69" s="45">
        <v>801622370</v>
      </c>
      <c r="H69" s="45"/>
      <c r="I69" s="44">
        <v>0</v>
      </c>
      <c r="J69" s="45">
        <v>9402</v>
      </c>
      <c r="K69" s="45">
        <v>801631772</v>
      </c>
    </row>
    <row r="70" spans="1:11" x14ac:dyDescent="0.3">
      <c r="A70" s="51">
        <v>45837</v>
      </c>
      <c r="B70" s="44" t="s">
        <v>458</v>
      </c>
      <c r="C70" s="44" t="s">
        <v>429</v>
      </c>
      <c r="D70" s="44" t="s">
        <v>430</v>
      </c>
      <c r="E70" s="44" t="s">
        <v>431</v>
      </c>
      <c r="F70" s="44" t="s">
        <v>492</v>
      </c>
      <c r="G70" s="45">
        <v>801631772</v>
      </c>
      <c r="H70" s="45"/>
      <c r="I70" s="44">
        <v>0</v>
      </c>
      <c r="J70" s="45">
        <v>46190182</v>
      </c>
      <c r="K70" s="45">
        <v>847821954</v>
      </c>
    </row>
    <row r="71" spans="1:11" x14ac:dyDescent="0.3">
      <c r="A71" s="51">
        <v>45838</v>
      </c>
      <c r="B71" s="44" t="s">
        <v>428</v>
      </c>
      <c r="C71" s="44" t="s">
        <v>429</v>
      </c>
      <c r="D71" s="44" t="s">
        <v>430</v>
      </c>
      <c r="E71" s="44" t="s">
        <v>471</v>
      </c>
      <c r="F71" s="44" t="s">
        <v>493</v>
      </c>
      <c r="G71" s="45">
        <v>847821954</v>
      </c>
      <c r="H71" s="45"/>
      <c r="I71" s="44">
        <v>0</v>
      </c>
      <c r="J71" s="45">
        <v>6321801</v>
      </c>
      <c r="K71" s="45">
        <v>854143755</v>
      </c>
    </row>
    <row r="72" spans="1:11" x14ac:dyDescent="0.3">
      <c r="A72" s="51">
        <v>45838</v>
      </c>
      <c r="B72" s="44" t="s">
        <v>468</v>
      </c>
      <c r="C72" s="44" t="s">
        <v>469</v>
      </c>
      <c r="D72" s="44" t="s">
        <v>430</v>
      </c>
      <c r="E72" s="44" t="s">
        <v>433</v>
      </c>
      <c r="F72" s="44" t="s">
        <v>494</v>
      </c>
      <c r="G72" s="45">
        <v>854143755</v>
      </c>
      <c r="H72" s="45"/>
      <c r="I72" s="44">
        <v>0</v>
      </c>
      <c r="J72" s="45">
        <v>2029</v>
      </c>
      <c r="K72" s="45">
        <v>854145784</v>
      </c>
    </row>
    <row r="73" spans="1:11" x14ac:dyDescent="0.3">
      <c r="A73" s="51">
        <v>45838</v>
      </c>
      <c r="B73" s="44" t="s">
        <v>495</v>
      </c>
      <c r="C73" s="44" t="s">
        <v>496</v>
      </c>
      <c r="D73" s="44" t="s">
        <v>430</v>
      </c>
      <c r="E73" s="44" t="s">
        <v>433</v>
      </c>
      <c r="F73" s="44" t="s">
        <v>497</v>
      </c>
      <c r="G73" s="45">
        <v>854145784</v>
      </c>
      <c r="H73" s="45"/>
      <c r="I73" s="44">
        <v>0</v>
      </c>
      <c r="J73" s="44">
        <v>60</v>
      </c>
      <c r="K73" s="45">
        <v>854145844</v>
      </c>
    </row>
    <row r="74" spans="1:11" x14ac:dyDescent="0.3">
      <c r="A74" s="51">
        <v>45838</v>
      </c>
      <c r="B74" s="44" t="s">
        <v>428</v>
      </c>
      <c r="C74" s="44" t="s">
        <v>429</v>
      </c>
      <c r="D74" s="44" t="s">
        <v>430</v>
      </c>
      <c r="E74" s="44" t="s">
        <v>433</v>
      </c>
      <c r="F74" s="44" t="s">
        <v>498</v>
      </c>
      <c r="G74" s="45">
        <v>854145844</v>
      </c>
      <c r="H74" s="45"/>
      <c r="I74" s="44">
        <v>0</v>
      </c>
      <c r="J74" s="45">
        <v>355234598</v>
      </c>
      <c r="K74" s="45">
        <v>1209380442</v>
      </c>
    </row>
    <row r="75" spans="1:11" x14ac:dyDescent="0.3">
      <c r="A75" s="51">
        <v>45838</v>
      </c>
      <c r="B75" s="44" t="s">
        <v>428</v>
      </c>
      <c r="C75" s="44" t="s">
        <v>429</v>
      </c>
      <c r="D75" s="44" t="s">
        <v>430</v>
      </c>
      <c r="E75" s="44" t="s">
        <v>431</v>
      </c>
      <c r="F75" s="44" t="s">
        <v>498</v>
      </c>
      <c r="G75" s="45">
        <v>1209380442</v>
      </c>
      <c r="H75" s="45"/>
      <c r="I75" s="44">
        <v>0</v>
      </c>
      <c r="J75" s="45">
        <v>146190819</v>
      </c>
      <c r="K75" s="45">
        <v>1355571261</v>
      </c>
    </row>
    <row r="76" spans="1:11" x14ac:dyDescent="0.3">
      <c r="A76" s="51">
        <v>45838</v>
      </c>
      <c r="B76" s="44" t="s">
        <v>428</v>
      </c>
      <c r="C76" s="44" t="s">
        <v>429</v>
      </c>
      <c r="D76" s="44" t="s">
        <v>430</v>
      </c>
      <c r="E76" s="44" t="s">
        <v>499</v>
      </c>
      <c r="F76" s="44" t="s">
        <v>500</v>
      </c>
      <c r="G76" s="45">
        <v>1355571261</v>
      </c>
      <c r="H76" s="45"/>
      <c r="I76" s="44">
        <v>0</v>
      </c>
      <c r="J76" s="45">
        <v>13216438</v>
      </c>
      <c r="K76" s="45">
        <v>1368787699</v>
      </c>
    </row>
    <row r="77" spans="1:11" x14ac:dyDescent="0.3">
      <c r="A77" s="51">
        <v>45838</v>
      </c>
      <c r="B77" s="44" t="s">
        <v>428</v>
      </c>
      <c r="C77" s="44" t="s">
        <v>429</v>
      </c>
      <c r="D77" s="44" t="s">
        <v>430</v>
      </c>
      <c r="E77" s="44" t="s">
        <v>471</v>
      </c>
      <c r="F77" s="44" t="s">
        <v>501</v>
      </c>
      <c r="G77" s="45">
        <v>1368787699</v>
      </c>
      <c r="H77" s="45"/>
      <c r="I77" s="44">
        <v>0</v>
      </c>
      <c r="J77" s="45">
        <v>5398840</v>
      </c>
      <c r="K77" s="45">
        <v>1374186539</v>
      </c>
    </row>
    <row r="78" spans="1:11" x14ac:dyDescent="0.3">
      <c r="A78" s="51">
        <v>45847</v>
      </c>
      <c r="B78" s="44" t="s">
        <v>458</v>
      </c>
      <c r="C78" s="44" t="s">
        <v>429</v>
      </c>
      <c r="D78" s="44" t="s">
        <v>430</v>
      </c>
      <c r="E78" s="44" t="s">
        <v>433</v>
      </c>
      <c r="F78" s="44" t="s">
        <v>502</v>
      </c>
      <c r="G78" s="45">
        <v>1374186539</v>
      </c>
      <c r="H78" s="45"/>
      <c r="I78" s="44">
        <v>0</v>
      </c>
      <c r="J78" s="45">
        <v>1351234</v>
      </c>
      <c r="K78" s="45">
        <v>1375537773</v>
      </c>
    </row>
    <row r="79" spans="1:11" x14ac:dyDescent="0.3">
      <c r="A79" s="51">
        <v>45856</v>
      </c>
      <c r="B79" s="44" t="s">
        <v>459</v>
      </c>
      <c r="C79" s="44" t="s">
        <v>429</v>
      </c>
      <c r="D79" s="44" t="s">
        <v>430</v>
      </c>
      <c r="E79" s="44" t="s">
        <v>437</v>
      </c>
      <c r="F79" s="44" t="s">
        <v>503</v>
      </c>
      <c r="G79" s="45">
        <v>1375537773</v>
      </c>
      <c r="H79" s="45"/>
      <c r="I79" s="44">
        <v>0</v>
      </c>
      <c r="J79" s="45">
        <v>47890</v>
      </c>
      <c r="K79" s="45">
        <v>1375585663</v>
      </c>
    </row>
    <row r="80" spans="1:11" x14ac:dyDescent="0.3">
      <c r="A80" s="51">
        <v>45856</v>
      </c>
      <c r="B80" s="44" t="s">
        <v>459</v>
      </c>
      <c r="C80" s="44" t="s">
        <v>429</v>
      </c>
      <c r="D80" s="44" t="s">
        <v>430</v>
      </c>
      <c r="E80" s="44" t="s">
        <v>437</v>
      </c>
      <c r="F80" s="44" t="s">
        <v>504</v>
      </c>
      <c r="G80" s="45">
        <v>1375585663</v>
      </c>
      <c r="H80" s="45"/>
      <c r="I80" s="44">
        <v>0</v>
      </c>
      <c r="J80" s="45">
        <v>71835</v>
      </c>
      <c r="K80" s="45">
        <v>1375657498</v>
      </c>
    </row>
    <row r="81" spans="1:11" x14ac:dyDescent="0.3">
      <c r="A81" s="51">
        <v>45859</v>
      </c>
      <c r="B81" s="44" t="s">
        <v>458</v>
      </c>
      <c r="C81" s="44" t="s">
        <v>429</v>
      </c>
      <c r="D81" s="44" t="s">
        <v>430</v>
      </c>
      <c r="E81" s="44" t="s">
        <v>433</v>
      </c>
      <c r="F81" s="44" t="s">
        <v>444</v>
      </c>
      <c r="G81" s="45">
        <v>1375657498</v>
      </c>
      <c r="H81" s="45"/>
      <c r="I81" s="44">
        <v>0</v>
      </c>
      <c r="J81" s="45">
        <v>22883</v>
      </c>
      <c r="K81" s="45">
        <v>1375680381</v>
      </c>
    </row>
    <row r="82" spans="1:11" x14ac:dyDescent="0.3">
      <c r="A82" s="51">
        <v>45866</v>
      </c>
      <c r="B82" s="44" t="s">
        <v>505</v>
      </c>
      <c r="C82" s="44" t="s">
        <v>429</v>
      </c>
      <c r="D82" s="44" t="s">
        <v>430</v>
      </c>
      <c r="E82" s="44" t="s">
        <v>431</v>
      </c>
      <c r="F82" s="44" t="s">
        <v>506</v>
      </c>
      <c r="G82" s="45">
        <v>1375680381</v>
      </c>
      <c r="H82" s="45"/>
      <c r="I82" s="44">
        <v>0</v>
      </c>
      <c r="J82" s="45">
        <v>7048097</v>
      </c>
      <c r="K82" s="45">
        <v>1382728478</v>
      </c>
    </row>
    <row r="83" spans="1:11" x14ac:dyDescent="0.3">
      <c r="A83" s="51">
        <v>45867</v>
      </c>
      <c r="B83" s="44" t="s">
        <v>505</v>
      </c>
      <c r="C83" s="44" t="s">
        <v>429</v>
      </c>
      <c r="D83" s="44" t="s">
        <v>430</v>
      </c>
      <c r="E83" s="44" t="s">
        <v>431</v>
      </c>
      <c r="F83" s="44" t="s">
        <v>507</v>
      </c>
      <c r="G83" s="45">
        <v>1382728478</v>
      </c>
      <c r="H83" s="45"/>
      <c r="I83" s="44">
        <v>0</v>
      </c>
      <c r="J83" s="45">
        <v>10123299</v>
      </c>
      <c r="K83" s="45">
        <v>1392851777</v>
      </c>
    </row>
    <row r="84" spans="1:11" x14ac:dyDescent="0.3">
      <c r="A84" s="51">
        <v>45882</v>
      </c>
      <c r="B84" s="44" t="s">
        <v>458</v>
      </c>
      <c r="C84" s="44" t="s">
        <v>429</v>
      </c>
      <c r="D84" s="44" t="s">
        <v>430</v>
      </c>
      <c r="E84" s="44" t="s">
        <v>433</v>
      </c>
      <c r="F84" s="44" t="s">
        <v>508</v>
      </c>
      <c r="G84" s="45">
        <v>1392851777</v>
      </c>
      <c r="H84" s="45"/>
      <c r="I84" s="44">
        <v>0</v>
      </c>
      <c r="J84" s="45">
        <v>4027396</v>
      </c>
      <c r="K84" s="45">
        <v>1396879173</v>
      </c>
    </row>
    <row r="85" spans="1:11" x14ac:dyDescent="0.3">
      <c r="A85" s="51">
        <v>45887</v>
      </c>
      <c r="B85" s="44" t="s">
        <v>458</v>
      </c>
      <c r="C85" s="44" t="s">
        <v>429</v>
      </c>
      <c r="D85" s="44" t="s">
        <v>430</v>
      </c>
      <c r="E85" s="44" t="s">
        <v>433</v>
      </c>
      <c r="F85" s="44" t="s">
        <v>444</v>
      </c>
      <c r="G85" s="45">
        <v>1396879173</v>
      </c>
      <c r="H85" s="45"/>
      <c r="I85" s="44">
        <v>0</v>
      </c>
      <c r="J85" s="45">
        <v>26950</v>
      </c>
      <c r="K85" s="45">
        <v>1396906123</v>
      </c>
    </row>
    <row r="86" spans="1:11" x14ac:dyDescent="0.3">
      <c r="A86" s="51">
        <v>45889</v>
      </c>
      <c r="B86" s="44" t="s">
        <v>459</v>
      </c>
      <c r="C86" s="44" t="s">
        <v>429</v>
      </c>
      <c r="D86" s="44" t="s">
        <v>430</v>
      </c>
      <c r="E86" s="44" t="s">
        <v>437</v>
      </c>
      <c r="F86" s="44" t="s">
        <v>509</v>
      </c>
      <c r="G86" s="45">
        <v>1396906123</v>
      </c>
      <c r="H86" s="45"/>
      <c r="I86" s="44">
        <v>0</v>
      </c>
      <c r="J86" s="45">
        <v>75616</v>
      </c>
      <c r="K86" s="45">
        <v>1396981739</v>
      </c>
    </row>
    <row r="87" spans="1:11" x14ac:dyDescent="0.3">
      <c r="A87" s="51">
        <v>45889</v>
      </c>
      <c r="B87" s="44" t="s">
        <v>459</v>
      </c>
      <c r="C87" s="44" t="s">
        <v>429</v>
      </c>
      <c r="D87" s="44" t="s">
        <v>430</v>
      </c>
      <c r="E87" s="44" t="s">
        <v>437</v>
      </c>
      <c r="F87" s="44" t="s">
        <v>510</v>
      </c>
      <c r="G87" s="45">
        <v>1396981739</v>
      </c>
      <c r="H87" s="45"/>
      <c r="I87" s="44">
        <v>0</v>
      </c>
      <c r="J87" s="45">
        <v>113424</v>
      </c>
      <c r="K87" s="45">
        <v>1397095163</v>
      </c>
    </row>
    <row r="88" spans="1:11" x14ac:dyDescent="0.3">
      <c r="A88" s="51">
        <v>45889</v>
      </c>
      <c r="B88" s="44" t="s">
        <v>459</v>
      </c>
      <c r="C88" s="44" t="s">
        <v>429</v>
      </c>
      <c r="D88" s="44" t="s">
        <v>430</v>
      </c>
      <c r="E88" s="44" t="s">
        <v>437</v>
      </c>
      <c r="F88" s="44" t="s">
        <v>511</v>
      </c>
      <c r="G88" s="45">
        <v>1397095163</v>
      </c>
      <c r="H88" s="45"/>
      <c r="I88" s="44">
        <v>0</v>
      </c>
      <c r="J88" s="45">
        <v>49150</v>
      </c>
      <c r="K88" s="45">
        <v>1397144313</v>
      </c>
    </row>
    <row r="89" spans="1:11" x14ac:dyDescent="0.3">
      <c r="A89" s="51">
        <v>45890</v>
      </c>
      <c r="B89" s="44" t="s">
        <v>458</v>
      </c>
      <c r="C89" s="44" t="s">
        <v>429</v>
      </c>
      <c r="D89" s="44" t="s">
        <v>430</v>
      </c>
      <c r="E89" s="44" t="s">
        <v>433</v>
      </c>
      <c r="F89" s="44" t="s">
        <v>450</v>
      </c>
      <c r="G89" s="45">
        <v>1397144313</v>
      </c>
      <c r="H89" s="45"/>
      <c r="I89" s="44">
        <v>0</v>
      </c>
      <c r="J89" s="45">
        <v>43879454</v>
      </c>
      <c r="K89" s="45">
        <v>1441023767</v>
      </c>
    </row>
    <row r="90" spans="1:11" x14ac:dyDescent="0.3">
      <c r="A90" s="51">
        <v>45890</v>
      </c>
      <c r="B90" s="44" t="s">
        <v>458</v>
      </c>
      <c r="C90" s="44" t="s">
        <v>429</v>
      </c>
      <c r="D90" s="44" t="s">
        <v>430</v>
      </c>
      <c r="E90" s="44" t="s">
        <v>433</v>
      </c>
      <c r="F90" s="44" t="s">
        <v>512</v>
      </c>
      <c r="G90" s="45">
        <v>1441023767</v>
      </c>
      <c r="H90" s="45"/>
      <c r="I90" s="44">
        <v>0</v>
      </c>
      <c r="J90" s="45">
        <v>21939727</v>
      </c>
      <c r="K90" s="45">
        <v>1462963494</v>
      </c>
    </row>
    <row r="91" spans="1:11" x14ac:dyDescent="0.3">
      <c r="A91" s="51">
        <v>45890</v>
      </c>
      <c r="B91" s="44" t="s">
        <v>458</v>
      </c>
      <c r="C91" s="44" t="s">
        <v>429</v>
      </c>
      <c r="D91" s="44" t="s">
        <v>430</v>
      </c>
      <c r="E91" s="44" t="s">
        <v>433</v>
      </c>
      <c r="F91" s="44" t="s">
        <v>513</v>
      </c>
      <c r="G91" s="45">
        <v>1462963494</v>
      </c>
      <c r="H91" s="45"/>
      <c r="I91" s="44">
        <v>0</v>
      </c>
      <c r="J91" s="45">
        <v>21939727</v>
      </c>
      <c r="K91" s="45">
        <v>1484903221</v>
      </c>
    </row>
    <row r="92" spans="1:11" x14ac:dyDescent="0.3">
      <c r="A92" s="51">
        <v>45896</v>
      </c>
      <c r="B92" s="44" t="s">
        <v>458</v>
      </c>
      <c r="C92" s="44" t="s">
        <v>429</v>
      </c>
      <c r="D92" s="44" t="s">
        <v>430</v>
      </c>
      <c r="E92" s="44" t="s">
        <v>431</v>
      </c>
      <c r="F92" s="44" t="s">
        <v>514</v>
      </c>
      <c r="G92" s="45">
        <v>1484903221</v>
      </c>
      <c r="H92" s="45"/>
      <c r="I92" s="44">
        <v>0</v>
      </c>
      <c r="J92" s="45">
        <v>11981313</v>
      </c>
      <c r="K92" s="45">
        <v>1496884534</v>
      </c>
    </row>
    <row r="93" spans="1:11" x14ac:dyDescent="0.3">
      <c r="A93" s="51">
        <v>45910</v>
      </c>
      <c r="B93" s="44" t="s">
        <v>458</v>
      </c>
      <c r="C93" s="44" t="s">
        <v>429</v>
      </c>
      <c r="D93" s="44" t="s">
        <v>430</v>
      </c>
      <c r="E93" s="44" t="s">
        <v>515</v>
      </c>
      <c r="F93" s="44" t="s">
        <v>516</v>
      </c>
      <c r="G93" s="45">
        <v>1496884534</v>
      </c>
      <c r="H93" s="45"/>
      <c r="I93" s="44">
        <v>0</v>
      </c>
      <c r="J93" s="45">
        <v>20057065</v>
      </c>
      <c r="K93" s="45">
        <v>1516941599</v>
      </c>
    </row>
    <row r="94" spans="1:11" x14ac:dyDescent="0.3">
      <c r="A94" s="51">
        <v>45911</v>
      </c>
      <c r="B94" s="44" t="s">
        <v>458</v>
      </c>
      <c r="C94" s="44" t="s">
        <v>429</v>
      </c>
      <c r="D94" s="44" t="s">
        <v>430</v>
      </c>
      <c r="E94" s="44" t="s">
        <v>431</v>
      </c>
      <c r="F94" s="44" t="s">
        <v>517</v>
      </c>
      <c r="G94" s="45">
        <v>1516941599</v>
      </c>
      <c r="H94" s="45"/>
      <c r="I94" s="44">
        <v>0</v>
      </c>
      <c r="J94" s="45">
        <v>5693234</v>
      </c>
      <c r="K94" s="45">
        <v>1522634833</v>
      </c>
    </row>
    <row r="95" spans="1:11" x14ac:dyDescent="0.3">
      <c r="A95" s="51">
        <v>45911</v>
      </c>
      <c r="B95" s="44" t="s">
        <v>458</v>
      </c>
      <c r="C95" s="44" t="s">
        <v>429</v>
      </c>
      <c r="D95" s="44" t="s">
        <v>430</v>
      </c>
      <c r="E95" s="44" t="s">
        <v>433</v>
      </c>
      <c r="F95" s="44" t="s">
        <v>518</v>
      </c>
      <c r="G95" s="45">
        <v>1522634833</v>
      </c>
      <c r="H95" s="45"/>
      <c r="I95" s="44">
        <v>0</v>
      </c>
      <c r="J95" s="45">
        <v>17400022</v>
      </c>
      <c r="K95" s="45">
        <v>1540034855</v>
      </c>
    </row>
    <row r="96" spans="1:11" x14ac:dyDescent="0.3">
      <c r="A96" s="51">
        <v>45913</v>
      </c>
      <c r="B96" s="44" t="s">
        <v>458</v>
      </c>
      <c r="C96" s="44" t="s">
        <v>429</v>
      </c>
      <c r="D96" s="44" t="s">
        <v>430</v>
      </c>
      <c r="E96" s="44" t="s">
        <v>433</v>
      </c>
      <c r="F96" s="44" t="s">
        <v>453</v>
      </c>
      <c r="G96" s="45">
        <v>1540034855</v>
      </c>
      <c r="H96" s="45"/>
      <c r="I96" s="44">
        <v>0</v>
      </c>
      <c r="J96" s="44">
        <v>203</v>
      </c>
      <c r="K96" s="45">
        <v>1540035058</v>
      </c>
    </row>
    <row r="97" spans="1:11" x14ac:dyDescent="0.3">
      <c r="A97" s="51">
        <v>45919</v>
      </c>
      <c r="B97" s="44" t="s">
        <v>459</v>
      </c>
      <c r="C97" s="44" t="s">
        <v>429</v>
      </c>
      <c r="D97" s="44" t="s">
        <v>430</v>
      </c>
      <c r="E97" s="44" t="s">
        <v>437</v>
      </c>
      <c r="F97" s="44" t="s">
        <v>519</v>
      </c>
      <c r="G97" s="45">
        <v>1540035058</v>
      </c>
      <c r="H97" s="45"/>
      <c r="I97" s="44">
        <v>0</v>
      </c>
      <c r="J97" s="45">
        <v>100821</v>
      </c>
      <c r="K97" s="45">
        <v>1540135879</v>
      </c>
    </row>
    <row r="98" spans="1:11" x14ac:dyDescent="0.3">
      <c r="A98" s="51">
        <v>45919</v>
      </c>
      <c r="B98" s="44" t="s">
        <v>459</v>
      </c>
      <c r="C98" s="44" t="s">
        <v>429</v>
      </c>
      <c r="D98" s="44" t="s">
        <v>430</v>
      </c>
      <c r="E98" s="44" t="s">
        <v>437</v>
      </c>
      <c r="F98" s="44" t="s">
        <v>520</v>
      </c>
      <c r="G98" s="45">
        <v>1540135879</v>
      </c>
      <c r="H98" s="45"/>
      <c r="I98" s="44">
        <v>0</v>
      </c>
      <c r="J98" s="45">
        <v>151232</v>
      </c>
      <c r="K98" s="45">
        <v>1540287111</v>
      </c>
    </row>
    <row r="99" spans="1:11" x14ac:dyDescent="0.3">
      <c r="A99" s="51">
        <v>45919</v>
      </c>
      <c r="B99" s="44" t="s">
        <v>459</v>
      </c>
      <c r="C99" s="44" t="s">
        <v>429</v>
      </c>
      <c r="D99" s="44" t="s">
        <v>430</v>
      </c>
      <c r="E99" s="44" t="s">
        <v>437</v>
      </c>
      <c r="F99" s="44" t="s">
        <v>521</v>
      </c>
      <c r="G99" s="45">
        <v>1540287111</v>
      </c>
      <c r="H99" s="45"/>
      <c r="I99" s="44">
        <v>0</v>
      </c>
      <c r="J99" s="45">
        <v>125607</v>
      </c>
      <c r="K99" s="45">
        <v>1540412718</v>
      </c>
    </row>
    <row r="100" spans="1:11" x14ac:dyDescent="0.3">
      <c r="A100" s="51">
        <v>45920</v>
      </c>
      <c r="B100" s="44" t="s">
        <v>458</v>
      </c>
      <c r="C100" s="44" t="s">
        <v>429</v>
      </c>
      <c r="D100" s="44" t="s">
        <v>430</v>
      </c>
      <c r="E100" s="44" t="s">
        <v>433</v>
      </c>
      <c r="F100" s="44" t="s">
        <v>454</v>
      </c>
      <c r="G100" s="45">
        <v>1540412718</v>
      </c>
      <c r="H100" s="45"/>
      <c r="I100" s="44">
        <v>0</v>
      </c>
      <c r="J100" s="44">
        <v>476</v>
      </c>
      <c r="K100" s="45">
        <v>1540413194</v>
      </c>
    </row>
    <row r="101" spans="1:11" x14ac:dyDescent="0.3">
      <c r="A101" s="51">
        <v>45921</v>
      </c>
      <c r="B101" s="44" t="s">
        <v>458</v>
      </c>
      <c r="C101" s="44" t="s">
        <v>429</v>
      </c>
      <c r="D101" s="44" t="s">
        <v>430</v>
      </c>
      <c r="E101" s="44" t="s">
        <v>455</v>
      </c>
      <c r="F101" s="44" t="s">
        <v>456</v>
      </c>
      <c r="G101" s="45">
        <v>1540413194</v>
      </c>
      <c r="H101" s="45"/>
      <c r="I101" s="44">
        <v>0</v>
      </c>
      <c r="J101" s="45">
        <v>29574766</v>
      </c>
      <c r="K101" s="45">
        <v>1569987960</v>
      </c>
    </row>
    <row r="102" spans="1:11" x14ac:dyDescent="0.3">
      <c r="A102" s="51">
        <v>45921</v>
      </c>
      <c r="B102" s="44" t="s">
        <v>458</v>
      </c>
      <c r="C102" s="44" t="s">
        <v>429</v>
      </c>
      <c r="D102" s="44" t="s">
        <v>430</v>
      </c>
      <c r="E102" s="44" t="s">
        <v>433</v>
      </c>
      <c r="F102" s="44" t="s">
        <v>457</v>
      </c>
      <c r="G102" s="45">
        <v>1569987960</v>
      </c>
      <c r="H102" s="45"/>
      <c r="I102" s="44">
        <v>0</v>
      </c>
      <c r="J102" s="45">
        <v>43947</v>
      </c>
      <c r="K102" s="45">
        <v>1570031907</v>
      </c>
    </row>
    <row r="103" spans="1:11" x14ac:dyDescent="0.3">
      <c r="A103" s="51">
        <v>45921</v>
      </c>
      <c r="B103" s="44" t="s">
        <v>458</v>
      </c>
      <c r="C103" s="44" t="s">
        <v>429</v>
      </c>
      <c r="D103" s="44" t="s">
        <v>430</v>
      </c>
      <c r="E103" s="44" t="s">
        <v>433</v>
      </c>
      <c r="F103" s="44" t="s">
        <v>522</v>
      </c>
      <c r="G103" s="45">
        <v>1570031907</v>
      </c>
      <c r="H103" s="45"/>
      <c r="I103" s="44">
        <v>0</v>
      </c>
      <c r="J103" s="44">
        <v>1</v>
      </c>
      <c r="K103" s="45">
        <v>1570031908</v>
      </c>
    </row>
    <row r="104" spans="1:11" x14ac:dyDescent="0.3">
      <c r="A104" s="51">
        <v>45921</v>
      </c>
      <c r="B104" s="44" t="s">
        <v>458</v>
      </c>
      <c r="C104" s="44" t="s">
        <v>429</v>
      </c>
      <c r="D104" s="44" t="s">
        <v>430</v>
      </c>
      <c r="E104" s="44" t="s">
        <v>433</v>
      </c>
      <c r="F104" s="44" t="s">
        <v>523</v>
      </c>
      <c r="G104" s="45">
        <v>1570031908</v>
      </c>
      <c r="H104" s="45"/>
      <c r="I104" s="44">
        <v>0</v>
      </c>
      <c r="J104" s="45">
        <v>1184</v>
      </c>
      <c r="K104" s="45">
        <v>1570033092</v>
      </c>
    </row>
    <row r="105" spans="1:11" x14ac:dyDescent="0.3">
      <c r="A105" s="51">
        <v>45921</v>
      </c>
      <c r="B105" s="44" t="s">
        <v>458</v>
      </c>
      <c r="C105" s="44" t="s">
        <v>429</v>
      </c>
      <c r="D105" s="44" t="s">
        <v>430</v>
      </c>
      <c r="E105" s="44" t="s">
        <v>433</v>
      </c>
      <c r="F105" s="44" t="s">
        <v>524</v>
      </c>
      <c r="G105" s="45">
        <v>1570033092</v>
      </c>
      <c r="H105" s="45"/>
      <c r="I105" s="44">
        <v>0</v>
      </c>
      <c r="J105" s="45">
        <v>1643</v>
      </c>
      <c r="K105" s="45">
        <v>1570034735</v>
      </c>
    </row>
    <row r="106" spans="1:11" x14ac:dyDescent="0.3">
      <c r="A106" s="51">
        <v>45921</v>
      </c>
      <c r="B106" s="44" t="s">
        <v>458</v>
      </c>
      <c r="C106" s="44" t="s">
        <v>429</v>
      </c>
      <c r="D106" s="44" t="s">
        <v>430</v>
      </c>
      <c r="E106" s="44" t="s">
        <v>433</v>
      </c>
      <c r="F106" s="44" t="s">
        <v>462</v>
      </c>
      <c r="G106" s="45">
        <v>1570034735</v>
      </c>
      <c r="H106" s="45"/>
      <c r="I106" s="44">
        <v>0</v>
      </c>
      <c r="J106" s="45">
        <v>10731</v>
      </c>
      <c r="K106" s="45">
        <v>1570045466</v>
      </c>
    </row>
    <row r="107" spans="1:11" x14ac:dyDescent="0.3">
      <c r="A107" s="51">
        <v>45922</v>
      </c>
      <c r="B107" s="44" t="s">
        <v>458</v>
      </c>
      <c r="C107" s="44" t="s">
        <v>429</v>
      </c>
      <c r="D107" s="44" t="s">
        <v>430</v>
      </c>
      <c r="E107" s="44" t="s">
        <v>433</v>
      </c>
      <c r="F107" s="44" t="s">
        <v>444</v>
      </c>
      <c r="G107" s="45">
        <v>1570045466</v>
      </c>
      <c r="H107" s="45"/>
      <c r="I107" s="44">
        <v>0</v>
      </c>
      <c r="J107" s="45">
        <v>30148</v>
      </c>
      <c r="K107" s="45">
        <v>1570075614</v>
      </c>
    </row>
    <row r="108" spans="1:11" x14ac:dyDescent="0.3">
      <c r="A108" s="51">
        <v>45924</v>
      </c>
      <c r="B108" s="44" t="s">
        <v>458</v>
      </c>
      <c r="C108" s="44" t="s">
        <v>429</v>
      </c>
      <c r="D108" s="44" t="s">
        <v>430</v>
      </c>
      <c r="E108" s="44" t="s">
        <v>433</v>
      </c>
      <c r="F108" s="44" t="s">
        <v>525</v>
      </c>
      <c r="G108" s="45">
        <v>1570075614</v>
      </c>
      <c r="H108" s="45"/>
      <c r="I108" s="44">
        <v>0</v>
      </c>
      <c r="J108" s="45">
        <v>50052000</v>
      </c>
      <c r="K108" s="45">
        <v>1620127614</v>
      </c>
    </row>
    <row r="109" spans="1:11" x14ac:dyDescent="0.3">
      <c r="A109" s="51">
        <v>45928</v>
      </c>
      <c r="B109" s="44" t="s">
        <v>458</v>
      </c>
      <c r="C109" s="44" t="s">
        <v>429</v>
      </c>
      <c r="D109" s="44" t="s">
        <v>430</v>
      </c>
      <c r="E109" s="44" t="s">
        <v>431</v>
      </c>
      <c r="F109" s="44" t="s">
        <v>526</v>
      </c>
      <c r="G109" s="45">
        <v>1620127614</v>
      </c>
      <c r="H109" s="45"/>
      <c r="I109" s="44">
        <v>0</v>
      </c>
      <c r="J109" s="45">
        <v>225892</v>
      </c>
      <c r="K109" s="45">
        <v>1620353506</v>
      </c>
    </row>
    <row r="110" spans="1:11" x14ac:dyDescent="0.3">
      <c r="A110" s="51">
        <v>45928</v>
      </c>
      <c r="B110" s="44" t="s">
        <v>458</v>
      </c>
      <c r="C110" s="44" t="s">
        <v>429</v>
      </c>
      <c r="D110" s="44" t="s">
        <v>430</v>
      </c>
      <c r="E110" s="44" t="s">
        <v>431</v>
      </c>
      <c r="F110" s="44" t="s">
        <v>527</v>
      </c>
      <c r="G110" s="45">
        <v>1620353506</v>
      </c>
      <c r="H110" s="45"/>
      <c r="I110" s="44">
        <v>0</v>
      </c>
      <c r="J110" s="44">
        <v>664</v>
      </c>
      <c r="K110" s="45">
        <v>1620354170</v>
      </c>
    </row>
    <row r="111" spans="1:11" x14ac:dyDescent="0.3">
      <c r="A111" s="51">
        <v>45928</v>
      </c>
      <c r="B111" s="44" t="s">
        <v>458</v>
      </c>
      <c r="C111" s="44" t="s">
        <v>429</v>
      </c>
      <c r="D111" s="44" t="s">
        <v>430</v>
      </c>
      <c r="E111" s="44" t="s">
        <v>431</v>
      </c>
      <c r="F111" s="44" t="s">
        <v>528</v>
      </c>
      <c r="G111" s="45">
        <v>1620354170</v>
      </c>
      <c r="H111" s="45"/>
      <c r="I111" s="44">
        <v>0</v>
      </c>
      <c r="J111" s="45">
        <v>3732</v>
      </c>
      <c r="K111" s="45">
        <v>1620357902</v>
      </c>
    </row>
    <row r="112" spans="1:11" x14ac:dyDescent="0.3">
      <c r="A112" s="51">
        <v>45928</v>
      </c>
      <c r="B112" s="44" t="s">
        <v>458</v>
      </c>
      <c r="C112" s="44" t="s">
        <v>429</v>
      </c>
      <c r="D112" s="44" t="s">
        <v>430</v>
      </c>
      <c r="E112" s="44" t="s">
        <v>431</v>
      </c>
      <c r="F112" s="44" t="s">
        <v>529</v>
      </c>
      <c r="G112" s="45">
        <v>1620357902</v>
      </c>
      <c r="H112" s="45"/>
      <c r="I112" s="44">
        <v>0</v>
      </c>
      <c r="J112" s="45">
        <v>53530093</v>
      </c>
      <c r="K112" s="45">
        <v>1673887995</v>
      </c>
    </row>
    <row r="113" spans="1:11" x14ac:dyDescent="0.3">
      <c r="A113" s="51">
        <v>45930</v>
      </c>
      <c r="B113" s="44" t="s">
        <v>428</v>
      </c>
      <c r="C113" s="44" t="s">
        <v>429</v>
      </c>
      <c r="D113" s="44" t="s">
        <v>430</v>
      </c>
      <c r="E113" s="44" t="s">
        <v>433</v>
      </c>
      <c r="F113" s="44" t="s">
        <v>530</v>
      </c>
      <c r="G113" s="45">
        <v>1673887995</v>
      </c>
      <c r="H113" s="45"/>
      <c r="I113" s="44">
        <v>0</v>
      </c>
      <c r="J113" s="45">
        <v>220005747</v>
      </c>
      <c r="K113" s="45">
        <v>1893893742</v>
      </c>
    </row>
    <row r="114" spans="1:11" x14ac:dyDescent="0.3">
      <c r="A114" s="51">
        <v>45930</v>
      </c>
      <c r="B114" s="44" t="s">
        <v>428</v>
      </c>
      <c r="C114" s="44" t="s">
        <v>429</v>
      </c>
      <c r="D114" s="44" t="s">
        <v>430</v>
      </c>
      <c r="E114" s="44" t="s">
        <v>431</v>
      </c>
      <c r="F114" s="44" t="s">
        <v>530</v>
      </c>
      <c r="G114" s="45">
        <v>1893893742</v>
      </c>
      <c r="H114" s="45"/>
      <c r="I114" s="44">
        <v>0</v>
      </c>
      <c r="J114" s="45">
        <v>2884529</v>
      </c>
      <c r="K114" s="45">
        <v>1896778271</v>
      </c>
    </row>
    <row r="115" spans="1:11" x14ac:dyDescent="0.3">
      <c r="A115" s="51">
        <v>45930</v>
      </c>
      <c r="B115" s="44" t="s">
        <v>428</v>
      </c>
      <c r="C115" s="44" t="s">
        <v>429</v>
      </c>
      <c r="D115" s="44" t="s">
        <v>430</v>
      </c>
      <c r="E115" s="44" t="s">
        <v>433</v>
      </c>
      <c r="F115" s="44" t="s">
        <v>531</v>
      </c>
      <c r="G115" s="45">
        <v>1896778271</v>
      </c>
      <c r="H115" s="45"/>
      <c r="I115" s="44">
        <v>0</v>
      </c>
      <c r="J115" s="45">
        <v>14563931</v>
      </c>
      <c r="K115" s="45">
        <v>1911342202</v>
      </c>
    </row>
    <row r="116" spans="1:11" x14ac:dyDescent="0.3">
      <c r="A116" s="51">
        <v>45930</v>
      </c>
      <c r="B116" s="44" t="s">
        <v>428</v>
      </c>
      <c r="C116" s="44" t="s">
        <v>429</v>
      </c>
      <c r="D116" s="44" t="s">
        <v>430</v>
      </c>
      <c r="E116" s="44" t="s">
        <v>499</v>
      </c>
      <c r="F116" s="44" t="s">
        <v>532</v>
      </c>
      <c r="G116" s="45">
        <v>1911342202</v>
      </c>
      <c r="H116" s="45"/>
      <c r="I116" s="44">
        <v>0</v>
      </c>
      <c r="J116" s="45">
        <v>18147945</v>
      </c>
      <c r="K116" s="45">
        <v>1929490147</v>
      </c>
    </row>
    <row r="117" spans="1:11" x14ac:dyDescent="0.3">
      <c r="A117" s="51">
        <v>45930</v>
      </c>
      <c r="B117" s="44" t="s">
        <v>468</v>
      </c>
      <c r="C117" s="44" t="s">
        <v>469</v>
      </c>
      <c r="D117" s="44" t="s">
        <v>430</v>
      </c>
      <c r="E117" s="44" t="s">
        <v>437</v>
      </c>
      <c r="F117" s="44" t="s">
        <v>533</v>
      </c>
      <c r="G117" s="45">
        <v>1929490147</v>
      </c>
      <c r="H117" s="45"/>
      <c r="I117" s="44">
        <v>0</v>
      </c>
      <c r="J117" s="45">
        <v>1555</v>
      </c>
      <c r="K117" s="45">
        <v>1929491702</v>
      </c>
    </row>
    <row r="118" spans="1:11" x14ac:dyDescent="0.3">
      <c r="A118" s="51">
        <v>45930</v>
      </c>
      <c r="B118" s="44" t="s">
        <v>428</v>
      </c>
      <c r="C118" s="44" t="s">
        <v>429</v>
      </c>
      <c r="D118" s="44" t="s">
        <v>430</v>
      </c>
      <c r="E118" s="44" t="s">
        <v>471</v>
      </c>
      <c r="F118" s="44" t="s">
        <v>534</v>
      </c>
      <c r="G118" s="45">
        <v>1929491702</v>
      </c>
      <c r="H118" s="45"/>
      <c r="I118" s="44">
        <v>0</v>
      </c>
      <c r="J118" s="45">
        <v>5191705</v>
      </c>
      <c r="K118" s="45">
        <v>1934683407</v>
      </c>
    </row>
    <row r="119" spans="1:11" x14ac:dyDescent="0.3">
      <c r="A119" s="51">
        <v>45930</v>
      </c>
      <c r="B119" s="44" t="s">
        <v>428</v>
      </c>
      <c r="C119" s="44" t="s">
        <v>429</v>
      </c>
      <c r="D119" s="44" t="s">
        <v>430</v>
      </c>
      <c r="E119" s="44" t="s">
        <v>471</v>
      </c>
      <c r="F119" s="44" t="s">
        <v>535</v>
      </c>
      <c r="G119" s="45">
        <v>1934683407</v>
      </c>
      <c r="H119" s="45"/>
      <c r="I119" s="44">
        <v>0</v>
      </c>
      <c r="J119" s="45">
        <v>5377386</v>
      </c>
      <c r="K119" s="45">
        <v>1940060793</v>
      </c>
    </row>
    <row r="120" spans="1:11" x14ac:dyDescent="0.3">
      <c r="A120" s="51">
        <v>45943</v>
      </c>
      <c r="B120" s="44" t="s">
        <v>458</v>
      </c>
      <c r="C120" s="44" t="s">
        <v>429</v>
      </c>
      <c r="D120" s="44" t="s">
        <v>430</v>
      </c>
      <c r="E120" s="44" t="s">
        <v>433</v>
      </c>
      <c r="F120" s="44" t="s">
        <v>536</v>
      </c>
      <c r="G120" s="45">
        <v>1940060793</v>
      </c>
      <c r="H120" s="45"/>
      <c r="I120" s="44">
        <v>0</v>
      </c>
      <c r="J120" s="45">
        <v>244382</v>
      </c>
      <c r="K120" s="45">
        <v>1940305175</v>
      </c>
    </row>
    <row r="121" spans="1:11" x14ac:dyDescent="0.3">
      <c r="A121" s="51">
        <v>45946</v>
      </c>
      <c r="B121" s="44" t="s">
        <v>458</v>
      </c>
      <c r="C121" s="44" t="s">
        <v>429</v>
      </c>
      <c r="D121" s="44" t="s">
        <v>430</v>
      </c>
      <c r="E121" s="44" t="s">
        <v>433</v>
      </c>
      <c r="F121" s="44" t="s">
        <v>537</v>
      </c>
      <c r="G121" s="45">
        <v>1940305175</v>
      </c>
      <c r="H121" s="45"/>
      <c r="I121" s="44">
        <v>0</v>
      </c>
      <c r="J121" s="45">
        <v>17819180</v>
      </c>
      <c r="K121" s="45">
        <v>1958124355</v>
      </c>
    </row>
    <row r="122" spans="1:11" x14ac:dyDescent="0.3">
      <c r="A122" s="51">
        <v>45950</v>
      </c>
      <c r="B122" s="44" t="s">
        <v>458</v>
      </c>
      <c r="C122" s="44" t="s">
        <v>429</v>
      </c>
      <c r="D122" s="44" t="s">
        <v>430</v>
      </c>
      <c r="E122" s="44" t="s">
        <v>433</v>
      </c>
      <c r="F122" s="44" t="s">
        <v>444</v>
      </c>
      <c r="G122" s="45">
        <v>1958124355</v>
      </c>
      <c r="H122" s="45"/>
      <c r="I122" s="44">
        <v>0</v>
      </c>
      <c r="J122" s="45">
        <v>15077</v>
      </c>
      <c r="K122" s="45">
        <v>1958139432</v>
      </c>
    </row>
    <row r="123" spans="1:11" x14ac:dyDescent="0.3">
      <c r="A123" s="51">
        <v>45950</v>
      </c>
      <c r="B123" s="44" t="s">
        <v>459</v>
      </c>
      <c r="C123" s="44" t="s">
        <v>429</v>
      </c>
      <c r="D123" s="44" t="s">
        <v>430</v>
      </c>
      <c r="E123" s="44" t="s">
        <v>437</v>
      </c>
      <c r="F123" s="44" t="s">
        <v>538</v>
      </c>
      <c r="G123" s="45">
        <v>1958139432</v>
      </c>
      <c r="H123" s="45"/>
      <c r="I123" s="44">
        <v>0</v>
      </c>
      <c r="J123" s="45">
        <v>47890</v>
      </c>
      <c r="K123" s="45">
        <v>1958187322</v>
      </c>
    </row>
    <row r="124" spans="1:11" x14ac:dyDescent="0.3">
      <c r="A124" s="51">
        <v>45950</v>
      </c>
      <c r="B124" s="44" t="s">
        <v>459</v>
      </c>
      <c r="C124" s="44" t="s">
        <v>429</v>
      </c>
      <c r="D124" s="44" t="s">
        <v>430</v>
      </c>
      <c r="E124" s="44" t="s">
        <v>437</v>
      </c>
      <c r="F124" s="44" t="s">
        <v>539</v>
      </c>
      <c r="G124" s="45">
        <v>1958187322</v>
      </c>
      <c r="H124" s="45"/>
      <c r="I124" s="44">
        <v>0</v>
      </c>
      <c r="J124" s="45">
        <v>71835</v>
      </c>
      <c r="K124" s="45">
        <v>1958259157</v>
      </c>
    </row>
    <row r="125" spans="1:11" x14ac:dyDescent="0.3">
      <c r="A125" s="51">
        <v>45950</v>
      </c>
      <c r="B125" s="44" t="s">
        <v>459</v>
      </c>
      <c r="C125" s="44" t="s">
        <v>429</v>
      </c>
      <c r="D125" s="44" t="s">
        <v>430</v>
      </c>
      <c r="E125" s="44" t="s">
        <v>437</v>
      </c>
      <c r="F125" s="44" t="s">
        <v>540</v>
      </c>
      <c r="G125" s="45">
        <v>1958259157</v>
      </c>
      <c r="H125" s="45"/>
      <c r="I125" s="44">
        <v>0</v>
      </c>
      <c r="J125" s="45">
        <v>57069</v>
      </c>
      <c r="K125" s="45">
        <v>1958316226</v>
      </c>
    </row>
    <row r="126" spans="1:11" x14ac:dyDescent="0.3">
      <c r="A126" s="51">
        <v>45972</v>
      </c>
      <c r="B126" s="44" t="s">
        <v>458</v>
      </c>
      <c r="C126" s="44" t="s">
        <v>429</v>
      </c>
      <c r="D126" s="44" t="s">
        <v>430</v>
      </c>
      <c r="E126" s="44" t="s">
        <v>433</v>
      </c>
      <c r="F126" s="44" t="s">
        <v>541</v>
      </c>
      <c r="G126" s="45">
        <v>1958316226</v>
      </c>
      <c r="H126" s="45"/>
      <c r="I126" s="44">
        <v>0</v>
      </c>
      <c r="J126" s="45">
        <v>16397260</v>
      </c>
      <c r="K126" s="45">
        <v>1974713486</v>
      </c>
    </row>
    <row r="127" spans="1:11" x14ac:dyDescent="0.3">
      <c r="A127" s="51">
        <v>45974</v>
      </c>
      <c r="B127" s="44" t="s">
        <v>458</v>
      </c>
      <c r="C127" s="44" t="s">
        <v>429</v>
      </c>
      <c r="D127" s="44" t="s">
        <v>430</v>
      </c>
      <c r="E127" s="44" t="s">
        <v>433</v>
      </c>
      <c r="F127" s="44" t="s">
        <v>542</v>
      </c>
      <c r="G127" s="45">
        <v>1974713486</v>
      </c>
      <c r="H127" s="45"/>
      <c r="I127" s="44">
        <v>0</v>
      </c>
      <c r="J127" s="45">
        <v>229939</v>
      </c>
      <c r="K127" s="45">
        <v>1974943425</v>
      </c>
    </row>
    <row r="128" spans="1:11" x14ac:dyDescent="0.3">
      <c r="A128" s="51">
        <v>45975</v>
      </c>
      <c r="B128" s="44" t="s">
        <v>458</v>
      </c>
      <c r="C128" s="44" t="s">
        <v>429</v>
      </c>
      <c r="D128" s="44" t="s">
        <v>430</v>
      </c>
      <c r="E128" s="44" t="s">
        <v>433</v>
      </c>
      <c r="F128" s="44" t="s">
        <v>543</v>
      </c>
      <c r="G128" s="45">
        <v>1974943425</v>
      </c>
      <c r="H128" s="45"/>
      <c r="I128" s="44">
        <v>0</v>
      </c>
      <c r="J128" s="45">
        <v>12772604</v>
      </c>
      <c r="K128" s="45">
        <v>1987716029</v>
      </c>
    </row>
    <row r="129" spans="1:11" x14ac:dyDescent="0.3">
      <c r="A129" s="51">
        <v>45978</v>
      </c>
      <c r="B129" s="44" t="s">
        <v>458</v>
      </c>
      <c r="C129" s="44" t="s">
        <v>429</v>
      </c>
      <c r="D129" s="44" t="s">
        <v>430</v>
      </c>
      <c r="E129" s="44" t="s">
        <v>433</v>
      </c>
      <c r="F129" s="44" t="s">
        <v>444</v>
      </c>
      <c r="G129" s="45">
        <v>1987716029</v>
      </c>
      <c r="H129" s="45"/>
      <c r="I129" s="44">
        <v>0</v>
      </c>
      <c r="J129" s="45">
        <v>30434</v>
      </c>
      <c r="K129" s="45">
        <v>1987746463</v>
      </c>
    </row>
    <row r="130" spans="1:11" x14ac:dyDescent="0.3">
      <c r="A130" s="51">
        <v>45981</v>
      </c>
      <c r="B130" s="44" t="s">
        <v>459</v>
      </c>
      <c r="C130" s="44" t="s">
        <v>429</v>
      </c>
      <c r="D130" s="44" t="s">
        <v>430</v>
      </c>
      <c r="E130" s="44" t="s">
        <v>437</v>
      </c>
      <c r="F130" s="44" t="s">
        <v>544</v>
      </c>
      <c r="G130" s="45">
        <v>1987746463</v>
      </c>
      <c r="H130" s="45"/>
      <c r="I130" s="44">
        <v>0</v>
      </c>
      <c r="J130" s="45">
        <v>75616</v>
      </c>
      <c r="K130" s="45">
        <v>1987822079</v>
      </c>
    </row>
    <row r="131" spans="1:11" x14ac:dyDescent="0.3">
      <c r="A131" s="51">
        <v>45981</v>
      </c>
      <c r="B131" s="44" t="s">
        <v>459</v>
      </c>
      <c r="C131" s="44" t="s">
        <v>429</v>
      </c>
      <c r="D131" s="44" t="s">
        <v>430</v>
      </c>
      <c r="E131" s="44" t="s">
        <v>437</v>
      </c>
      <c r="F131" s="44" t="s">
        <v>545</v>
      </c>
      <c r="G131" s="45">
        <v>1987822079</v>
      </c>
      <c r="H131" s="45"/>
      <c r="I131" s="44">
        <v>0</v>
      </c>
      <c r="J131" s="45">
        <v>113424</v>
      </c>
      <c r="K131" s="45">
        <v>1987935503</v>
      </c>
    </row>
    <row r="132" spans="1:11" x14ac:dyDescent="0.3">
      <c r="A132" s="51">
        <v>45981</v>
      </c>
      <c r="B132" s="44" t="s">
        <v>459</v>
      </c>
      <c r="C132" s="44" t="s">
        <v>429</v>
      </c>
      <c r="D132" s="44" t="s">
        <v>430</v>
      </c>
      <c r="E132" s="44" t="s">
        <v>437</v>
      </c>
      <c r="F132" s="44" t="s">
        <v>546</v>
      </c>
      <c r="G132" s="45">
        <v>1987935503</v>
      </c>
      <c r="H132" s="45"/>
      <c r="I132" s="44">
        <v>0</v>
      </c>
      <c r="J132" s="45">
        <v>86013</v>
      </c>
      <c r="K132" s="45">
        <v>1988021516</v>
      </c>
    </row>
    <row r="133" spans="1:11" x14ac:dyDescent="0.3">
      <c r="A133" s="51">
        <v>45995</v>
      </c>
      <c r="B133" s="44" t="s">
        <v>458</v>
      </c>
      <c r="C133" s="44" t="s">
        <v>429</v>
      </c>
      <c r="D133" s="44" t="s">
        <v>430</v>
      </c>
      <c r="E133" s="44" t="s">
        <v>433</v>
      </c>
      <c r="F133" s="44" t="s">
        <v>547</v>
      </c>
      <c r="G133" s="45">
        <v>1988021516</v>
      </c>
      <c r="H133" s="45"/>
      <c r="I133" s="44">
        <v>0</v>
      </c>
      <c r="J133" s="45">
        <v>602739</v>
      </c>
      <c r="K133" s="45">
        <v>1988624255</v>
      </c>
    </row>
    <row r="134" spans="1:11" x14ac:dyDescent="0.3">
      <c r="A134" s="51">
        <v>46002</v>
      </c>
      <c r="B134" s="44" t="s">
        <v>458</v>
      </c>
      <c r="C134" s="44" t="s">
        <v>429</v>
      </c>
      <c r="D134" s="44" t="s">
        <v>430</v>
      </c>
      <c r="E134" s="44" t="s">
        <v>431</v>
      </c>
      <c r="F134" s="44" t="s">
        <v>548</v>
      </c>
      <c r="G134" s="45">
        <v>1988624255</v>
      </c>
      <c r="H134" s="45"/>
      <c r="I134" s="44">
        <v>0</v>
      </c>
      <c r="J134" s="45">
        <v>11958787</v>
      </c>
      <c r="K134" s="45">
        <v>2000583042</v>
      </c>
    </row>
    <row r="135" spans="1:11" x14ac:dyDescent="0.3">
      <c r="A135" s="51">
        <v>46004</v>
      </c>
      <c r="B135" s="44" t="s">
        <v>458</v>
      </c>
      <c r="C135" s="44" t="s">
        <v>429</v>
      </c>
      <c r="D135" s="44" t="s">
        <v>430</v>
      </c>
      <c r="E135" s="44" t="s">
        <v>433</v>
      </c>
      <c r="F135" s="44" t="s">
        <v>453</v>
      </c>
      <c r="G135" s="45">
        <v>2000583042</v>
      </c>
      <c r="H135" s="45"/>
      <c r="I135" s="44">
        <v>0</v>
      </c>
      <c r="J135" s="44">
        <v>206</v>
      </c>
      <c r="K135" s="45">
        <v>2000583248</v>
      </c>
    </row>
    <row r="136" spans="1:11" x14ac:dyDescent="0.3">
      <c r="A136" s="51">
        <v>46006</v>
      </c>
      <c r="B136" s="44" t="s">
        <v>458</v>
      </c>
      <c r="C136" s="44" t="s">
        <v>429</v>
      </c>
      <c r="D136" s="44" t="s">
        <v>430</v>
      </c>
      <c r="E136" s="44" t="s">
        <v>433</v>
      </c>
      <c r="F136" s="44" t="s">
        <v>549</v>
      </c>
      <c r="G136" s="45">
        <v>2000583248</v>
      </c>
      <c r="H136" s="45"/>
      <c r="I136" s="44">
        <v>0</v>
      </c>
      <c r="J136" s="45">
        <v>237715</v>
      </c>
      <c r="K136" s="45">
        <v>2000820963</v>
      </c>
    </row>
    <row r="137" spans="1:11" x14ac:dyDescent="0.3">
      <c r="A137" s="51">
        <v>46010</v>
      </c>
      <c r="B137" s="44" t="s">
        <v>459</v>
      </c>
      <c r="C137" s="44" t="s">
        <v>429</v>
      </c>
      <c r="D137" s="44" t="s">
        <v>430</v>
      </c>
      <c r="E137" s="44" t="s">
        <v>437</v>
      </c>
      <c r="F137" s="44" t="s">
        <v>550</v>
      </c>
      <c r="G137" s="45">
        <v>2000820963</v>
      </c>
      <c r="H137" s="45"/>
      <c r="I137" s="44">
        <v>0</v>
      </c>
      <c r="J137" s="45">
        <v>151232</v>
      </c>
      <c r="K137" s="45">
        <v>2000972195</v>
      </c>
    </row>
    <row r="138" spans="1:11" x14ac:dyDescent="0.3">
      <c r="A138" s="51">
        <v>46010</v>
      </c>
      <c r="B138" s="44" t="s">
        <v>459</v>
      </c>
      <c r="C138" s="44" t="s">
        <v>429</v>
      </c>
      <c r="D138" s="44" t="s">
        <v>430</v>
      </c>
      <c r="E138" s="44" t="s">
        <v>437</v>
      </c>
      <c r="F138" s="44" t="s">
        <v>551</v>
      </c>
      <c r="G138" s="45">
        <v>2000972195</v>
      </c>
      <c r="H138" s="45"/>
      <c r="I138" s="44">
        <v>0</v>
      </c>
      <c r="J138" s="45">
        <v>151232</v>
      </c>
      <c r="K138" s="45">
        <v>2001123427</v>
      </c>
    </row>
    <row r="139" spans="1:11" x14ac:dyDescent="0.3">
      <c r="A139" s="51">
        <v>46010</v>
      </c>
      <c r="B139" s="44" t="s">
        <v>459</v>
      </c>
      <c r="C139" s="44" t="s">
        <v>429</v>
      </c>
      <c r="D139" s="44" t="s">
        <v>430</v>
      </c>
      <c r="E139" s="44" t="s">
        <v>437</v>
      </c>
      <c r="F139" s="44" t="s">
        <v>552</v>
      </c>
      <c r="G139" s="45">
        <v>2001123427</v>
      </c>
      <c r="H139" s="45"/>
      <c r="I139" s="44">
        <v>0</v>
      </c>
      <c r="J139" s="45">
        <v>109223</v>
      </c>
      <c r="K139" s="45">
        <v>2001232650</v>
      </c>
    </row>
    <row r="140" spans="1:11" x14ac:dyDescent="0.3">
      <c r="A140" s="51">
        <v>46011</v>
      </c>
      <c r="B140" s="44" t="s">
        <v>458</v>
      </c>
      <c r="C140" s="44" t="s">
        <v>429</v>
      </c>
      <c r="D140" s="44" t="s">
        <v>430</v>
      </c>
      <c r="E140" s="44" t="s">
        <v>433</v>
      </c>
      <c r="F140" s="44" t="s">
        <v>553</v>
      </c>
      <c r="G140" s="45">
        <v>2001232650</v>
      </c>
      <c r="H140" s="45"/>
      <c r="I140" s="44">
        <v>0</v>
      </c>
      <c r="J140" s="45">
        <v>13700</v>
      </c>
      <c r="K140" s="45">
        <v>2001246350</v>
      </c>
    </row>
    <row r="141" spans="1:11" x14ac:dyDescent="0.3">
      <c r="A141" s="51">
        <v>46011</v>
      </c>
      <c r="B141" s="44" t="s">
        <v>458</v>
      </c>
      <c r="C141" s="44" t="s">
        <v>429</v>
      </c>
      <c r="D141" s="44" t="s">
        <v>430</v>
      </c>
      <c r="E141" s="44" t="s">
        <v>433</v>
      </c>
      <c r="F141" s="44" t="s">
        <v>462</v>
      </c>
      <c r="G141" s="45">
        <v>2001246350</v>
      </c>
      <c r="H141" s="45"/>
      <c r="I141" s="44">
        <v>0</v>
      </c>
      <c r="J141" s="44">
        <v>7</v>
      </c>
      <c r="K141" s="45">
        <v>2001246357</v>
      </c>
    </row>
    <row r="142" spans="1:11" x14ac:dyDescent="0.3">
      <c r="A142" s="51">
        <v>46011</v>
      </c>
      <c r="B142" s="44" t="s">
        <v>458</v>
      </c>
      <c r="C142" s="44" t="s">
        <v>429</v>
      </c>
      <c r="D142" s="44" t="s">
        <v>430</v>
      </c>
      <c r="E142" s="44" t="s">
        <v>433</v>
      </c>
      <c r="F142" s="44" t="s">
        <v>485</v>
      </c>
      <c r="G142" s="45">
        <v>2001246357</v>
      </c>
      <c r="H142" s="45"/>
      <c r="I142" s="44">
        <v>0</v>
      </c>
      <c r="J142" s="45">
        <v>4178</v>
      </c>
      <c r="K142" s="45">
        <v>2001250535</v>
      </c>
    </row>
    <row r="143" spans="1:11" x14ac:dyDescent="0.3">
      <c r="A143" s="51">
        <v>46011</v>
      </c>
      <c r="B143" s="44" t="s">
        <v>458</v>
      </c>
      <c r="C143" s="44" t="s">
        <v>429</v>
      </c>
      <c r="D143" s="44" t="s">
        <v>430</v>
      </c>
      <c r="E143" s="44" t="s">
        <v>433</v>
      </c>
      <c r="F143" s="44" t="s">
        <v>454</v>
      </c>
      <c r="G143" s="45">
        <v>2001250535</v>
      </c>
      <c r="H143" s="45"/>
      <c r="I143" s="44">
        <v>0</v>
      </c>
      <c r="J143" s="44">
        <v>930</v>
      </c>
      <c r="K143" s="45">
        <v>2001251465</v>
      </c>
    </row>
    <row r="144" spans="1:11" x14ac:dyDescent="0.3">
      <c r="A144" s="51">
        <v>46011</v>
      </c>
      <c r="B144" s="44" t="s">
        <v>458</v>
      </c>
      <c r="C144" s="44" t="s">
        <v>429</v>
      </c>
      <c r="D144" s="44" t="s">
        <v>430</v>
      </c>
      <c r="E144" s="44" t="s">
        <v>433</v>
      </c>
      <c r="F144" s="44" t="s">
        <v>486</v>
      </c>
      <c r="G144" s="45">
        <v>2001251465</v>
      </c>
      <c r="H144" s="45"/>
      <c r="I144" s="44">
        <v>0</v>
      </c>
      <c r="J144" s="44">
        <v>695</v>
      </c>
      <c r="K144" s="45">
        <v>2001252160</v>
      </c>
    </row>
    <row r="145" spans="1:11" x14ac:dyDescent="0.3">
      <c r="A145" s="51">
        <v>46011</v>
      </c>
      <c r="B145" s="44" t="s">
        <v>458</v>
      </c>
      <c r="C145" s="44" t="s">
        <v>429</v>
      </c>
      <c r="D145" s="44" t="s">
        <v>430</v>
      </c>
      <c r="E145" s="44" t="s">
        <v>433</v>
      </c>
      <c r="F145" s="44" t="s">
        <v>487</v>
      </c>
      <c r="G145" s="45">
        <v>2001252160</v>
      </c>
      <c r="H145" s="45"/>
      <c r="I145" s="44">
        <v>0</v>
      </c>
      <c r="J145" s="44">
        <v>948</v>
      </c>
      <c r="K145" s="45">
        <v>2001253108</v>
      </c>
    </row>
    <row r="146" spans="1:11" x14ac:dyDescent="0.3">
      <c r="A146" s="51">
        <v>46012</v>
      </c>
      <c r="B146" s="44" t="s">
        <v>458</v>
      </c>
      <c r="C146" s="44" t="s">
        <v>429</v>
      </c>
      <c r="D146" s="44" t="s">
        <v>430</v>
      </c>
      <c r="E146" s="44" t="s">
        <v>455</v>
      </c>
      <c r="F146" s="44" t="s">
        <v>456</v>
      </c>
      <c r="G146" s="45">
        <v>2001253108</v>
      </c>
      <c r="H146" s="45"/>
      <c r="I146" s="44">
        <v>0</v>
      </c>
      <c r="J146" s="45">
        <v>29068489</v>
      </c>
      <c r="K146" s="45">
        <v>2030321597</v>
      </c>
    </row>
    <row r="147" spans="1:11" x14ac:dyDescent="0.3">
      <c r="A147" s="51">
        <v>46012</v>
      </c>
      <c r="B147" s="44" t="s">
        <v>458</v>
      </c>
      <c r="C147" s="44" t="s">
        <v>429</v>
      </c>
      <c r="D147" s="44" t="s">
        <v>430</v>
      </c>
      <c r="E147" s="44" t="s">
        <v>433</v>
      </c>
      <c r="F147" s="44" t="s">
        <v>457</v>
      </c>
      <c r="G147" s="45">
        <v>2030321597</v>
      </c>
      <c r="H147" s="45"/>
      <c r="I147" s="44">
        <v>0</v>
      </c>
      <c r="J147" s="45">
        <v>40361</v>
      </c>
      <c r="K147" s="45">
        <v>2030361958</v>
      </c>
    </row>
    <row r="148" spans="1:11" x14ac:dyDescent="0.3">
      <c r="A148" s="51">
        <v>46012</v>
      </c>
      <c r="B148" s="44" t="s">
        <v>458</v>
      </c>
      <c r="C148" s="44" t="s">
        <v>429</v>
      </c>
      <c r="D148" s="44" t="s">
        <v>430</v>
      </c>
      <c r="E148" s="44" t="s">
        <v>433</v>
      </c>
      <c r="F148" s="44" t="s">
        <v>523</v>
      </c>
      <c r="G148" s="45">
        <v>2030361958</v>
      </c>
      <c r="H148" s="45"/>
      <c r="I148" s="44">
        <v>0</v>
      </c>
      <c r="J148" s="45">
        <v>7875</v>
      </c>
      <c r="K148" s="45">
        <v>2030369833</v>
      </c>
    </row>
    <row r="149" spans="1:11" x14ac:dyDescent="0.3">
      <c r="A149" s="51">
        <v>46012</v>
      </c>
      <c r="B149" s="44" t="s">
        <v>458</v>
      </c>
      <c r="C149" s="44" t="s">
        <v>429</v>
      </c>
      <c r="D149" s="44" t="s">
        <v>430</v>
      </c>
      <c r="E149" s="44" t="s">
        <v>433</v>
      </c>
      <c r="F149" s="44" t="s">
        <v>524</v>
      </c>
      <c r="G149" s="45">
        <v>2030369833</v>
      </c>
      <c r="H149" s="45"/>
      <c r="I149" s="44">
        <v>0</v>
      </c>
      <c r="J149" s="44">
        <v>611</v>
      </c>
      <c r="K149" s="45">
        <v>2030370444</v>
      </c>
    </row>
    <row r="150" spans="1:11" x14ac:dyDescent="0.3">
      <c r="A150" s="51">
        <v>46012</v>
      </c>
      <c r="B150" s="44" t="s">
        <v>458</v>
      </c>
      <c r="C150" s="44" t="s">
        <v>429</v>
      </c>
      <c r="D150" s="44" t="s">
        <v>430</v>
      </c>
      <c r="E150" s="44" t="s">
        <v>433</v>
      </c>
      <c r="F150" s="44" t="s">
        <v>462</v>
      </c>
      <c r="G150" s="45">
        <v>2030370444</v>
      </c>
      <c r="H150" s="45"/>
      <c r="I150" s="44">
        <v>0</v>
      </c>
      <c r="J150" s="45">
        <v>6496</v>
      </c>
      <c r="K150" s="45">
        <v>2030376940</v>
      </c>
    </row>
    <row r="151" spans="1:11" x14ac:dyDescent="0.3">
      <c r="A151" s="51">
        <v>46013</v>
      </c>
      <c r="B151" s="44" t="s">
        <v>458</v>
      </c>
      <c r="C151" s="44" t="s">
        <v>429</v>
      </c>
      <c r="D151" s="44" t="s">
        <v>430</v>
      </c>
      <c r="E151" s="44" t="s">
        <v>433</v>
      </c>
      <c r="F151" s="44" t="s">
        <v>444</v>
      </c>
      <c r="G151" s="45">
        <v>2030376940</v>
      </c>
      <c r="H151" s="45"/>
      <c r="I151" s="44">
        <v>0</v>
      </c>
      <c r="J151" s="45">
        <v>20865</v>
      </c>
      <c r="K151" s="45">
        <v>2030397805</v>
      </c>
    </row>
    <row r="152" spans="1:11" x14ac:dyDescent="0.3">
      <c r="A152" s="51">
        <v>46019</v>
      </c>
      <c r="B152" s="44" t="s">
        <v>458</v>
      </c>
      <c r="C152" s="44" t="s">
        <v>429</v>
      </c>
      <c r="D152" s="44" t="s">
        <v>430</v>
      </c>
      <c r="E152" s="44" t="s">
        <v>431</v>
      </c>
      <c r="F152" s="44" t="s">
        <v>554</v>
      </c>
      <c r="G152" s="45">
        <v>2030397805</v>
      </c>
      <c r="H152" s="45"/>
      <c r="I152" s="44">
        <v>0</v>
      </c>
      <c r="J152" s="45">
        <v>50722417</v>
      </c>
      <c r="K152" s="45">
        <v>2081120222</v>
      </c>
    </row>
    <row r="153" spans="1:11" x14ac:dyDescent="0.3">
      <c r="A153" s="51">
        <v>46019</v>
      </c>
      <c r="B153" s="44" t="s">
        <v>458</v>
      </c>
      <c r="C153" s="44" t="s">
        <v>429</v>
      </c>
      <c r="D153" s="44" t="s">
        <v>430</v>
      </c>
      <c r="E153" s="44" t="s">
        <v>431</v>
      </c>
      <c r="F153" s="44" t="s">
        <v>555</v>
      </c>
      <c r="G153" s="45">
        <v>2081120222</v>
      </c>
      <c r="H153" s="45"/>
      <c r="I153" s="44">
        <v>0</v>
      </c>
      <c r="J153" s="45">
        <v>154677</v>
      </c>
      <c r="K153" s="45">
        <v>2081274899</v>
      </c>
    </row>
    <row r="154" spans="1:11" x14ac:dyDescent="0.3">
      <c r="A154" s="51">
        <v>46019</v>
      </c>
      <c r="B154" s="44" t="s">
        <v>458</v>
      </c>
      <c r="C154" s="44" t="s">
        <v>429</v>
      </c>
      <c r="D154" s="44" t="s">
        <v>430</v>
      </c>
      <c r="E154" s="44" t="s">
        <v>431</v>
      </c>
      <c r="F154" s="44" t="s">
        <v>556</v>
      </c>
      <c r="G154" s="45">
        <v>2081274899</v>
      </c>
      <c r="H154" s="45"/>
      <c r="I154" s="44">
        <v>0</v>
      </c>
      <c r="J154" s="44">
        <v>493</v>
      </c>
      <c r="K154" s="45">
        <v>2081275392</v>
      </c>
    </row>
    <row r="155" spans="1:11" x14ac:dyDescent="0.3">
      <c r="A155" s="51">
        <v>46019</v>
      </c>
      <c r="B155" s="44" t="s">
        <v>458</v>
      </c>
      <c r="C155" s="44" t="s">
        <v>429</v>
      </c>
      <c r="D155" s="44" t="s">
        <v>430</v>
      </c>
      <c r="E155" s="44" t="s">
        <v>431</v>
      </c>
      <c r="F155" s="44" t="s">
        <v>557</v>
      </c>
      <c r="G155" s="45">
        <v>2081275392</v>
      </c>
      <c r="H155" s="45"/>
      <c r="I155" s="44">
        <v>0</v>
      </c>
      <c r="J155" s="45">
        <v>8286</v>
      </c>
      <c r="K155" s="45">
        <v>2081283678</v>
      </c>
    </row>
    <row r="156" spans="1:11" x14ac:dyDescent="0.3">
      <c r="A156" s="51">
        <v>46022</v>
      </c>
      <c r="B156" s="44" t="s">
        <v>495</v>
      </c>
      <c r="C156" s="44" t="s">
        <v>496</v>
      </c>
      <c r="D156" s="44" t="s">
        <v>430</v>
      </c>
      <c r="E156" s="44" t="s">
        <v>433</v>
      </c>
      <c r="F156" s="44" t="s">
        <v>558</v>
      </c>
      <c r="G156" s="45">
        <v>2081283678</v>
      </c>
      <c r="H156" s="45"/>
      <c r="I156" s="44">
        <v>0</v>
      </c>
      <c r="J156" s="44">
        <v>102</v>
      </c>
      <c r="K156" s="45">
        <v>2081283780</v>
      </c>
    </row>
    <row r="157" spans="1:11" x14ac:dyDescent="0.3">
      <c r="A157" s="51">
        <v>46022</v>
      </c>
      <c r="B157" s="44" t="s">
        <v>428</v>
      </c>
      <c r="C157" s="44" t="s">
        <v>429</v>
      </c>
      <c r="D157" s="44" t="s">
        <v>430</v>
      </c>
      <c r="E157" s="44" t="s">
        <v>433</v>
      </c>
      <c r="F157" s="44" t="s">
        <v>559</v>
      </c>
      <c r="G157" s="45">
        <v>2081283780</v>
      </c>
      <c r="H157" s="45"/>
      <c r="I157" s="44">
        <v>0</v>
      </c>
      <c r="J157" s="45">
        <v>313916982</v>
      </c>
      <c r="K157" s="45">
        <v>2395200762</v>
      </c>
    </row>
    <row r="158" spans="1:11" x14ac:dyDescent="0.3">
      <c r="A158" s="51">
        <v>46022</v>
      </c>
      <c r="B158" s="44" t="s">
        <v>428</v>
      </c>
      <c r="C158" s="44" t="s">
        <v>429</v>
      </c>
      <c r="D158" s="44" t="s">
        <v>430</v>
      </c>
      <c r="E158" s="44" t="s">
        <v>431</v>
      </c>
      <c r="F158" s="44" t="s">
        <v>559</v>
      </c>
      <c r="G158" s="45">
        <v>2395200762</v>
      </c>
      <c r="H158" s="45"/>
      <c r="I158" s="44">
        <v>0</v>
      </c>
      <c r="J158" s="45">
        <v>2625423</v>
      </c>
      <c r="K158" s="45">
        <v>2397826185</v>
      </c>
    </row>
    <row r="159" spans="1:11" x14ac:dyDescent="0.3">
      <c r="A159" s="51">
        <v>46022</v>
      </c>
      <c r="B159" s="44" t="s">
        <v>428</v>
      </c>
      <c r="C159" s="44" t="s">
        <v>429</v>
      </c>
      <c r="D159" s="44" t="s">
        <v>430</v>
      </c>
      <c r="E159" s="44" t="s">
        <v>515</v>
      </c>
      <c r="F159" s="44" t="s">
        <v>560</v>
      </c>
      <c r="G159" s="45">
        <v>2397826185</v>
      </c>
      <c r="H159" s="45"/>
      <c r="I159" s="44">
        <v>0</v>
      </c>
      <c r="J159" s="45">
        <v>66994081</v>
      </c>
      <c r="K159" s="45">
        <v>2464820266</v>
      </c>
    </row>
    <row r="160" spans="1:11" x14ac:dyDescent="0.3">
      <c r="A160" s="51">
        <v>46022</v>
      </c>
      <c r="B160" s="44" t="s">
        <v>428</v>
      </c>
      <c r="C160" s="44" t="s">
        <v>429</v>
      </c>
      <c r="D160" s="44" t="s">
        <v>430</v>
      </c>
      <c r="E160" s="44" t="s">
        <v>499</v>
      </c>
      <c r="F160" s="44" t="s">
        <v>561</v>
      </c>
      <c r="G160" s="45">
        <v>2464820266</v>
      </c>
      <c r="H160" s="45"/>
      <c r="I160" s="44">
        <v>0</v>
      </c>
      <c r="J160" s="45">
        <v>18147945</v>
      </c>
      <c r="K160" s="45">
        <v>2482968211</v>
      </c>
    </row>
    <row r="161" spans="1:11" x14ac:dyDescent="0.3">
      <c r="A161" s="51">
        <v>46022</v>
      </c>
      <c r="B161" s="44" t="s">
        <v>428</v>
      </c>
      <c r="C161" s="44" t="s">
        <v>429</v>
      </c>
      <c r="D161" s="44" t="s">
        <v>430</v>
      </c>
      <c r="E161" s="44" t="s">
        <v>433</v>
      </c>
      <c r="F161" s="44" t="s">
        <v>562</v>
      </c>
      <c r="G161" s="45">
        <v>2482968211</v>
      </c>
      <c r="H161" s="45"/>
      <c r="I161" s="44">
        <v>0</v>
      </c>
      <c r="J161" s="45">
        <v>119042</v>
      </c>
      <c r="K161" s="45">
        <v>2483087253</v>
      </c>
    </row>
    <row r="162" spans="1:11" x14ac:dyDescent="0.3">
      <c r="A162" s="51">
        <v>46022</v>
      </c>
      <c r="B162" s="44" t="s">
        <v>468</v>
      </c>
      <c r="C162" s="44" t="s">
        <v>469</v>
      </c>
      <c r="D162" s="44" t="s">
        <v>430</v>
      </c>
      <c r="E162" s="44" t="s">
        <v>433</v>
      </c>
      <c r="F162" s="44" t="s">
        <v>563</v>
      </c>
      <c r="G162" s="45">
        <v>2483087253</v>
      </c>
      <c r="H162" s="45"/>
      <c r="I162" s="44">
        <v>0</v>
      </c>
      <c r="J162" s="45">
        <v>1860</v>
      </c>
      <c r="K162" s="45">
        <v>2483089113</v>
      </c>
    </row>
    <row r="163" spans="1:11" x14ac:dyDescent="0.3">
      <c r="A163" s="51">
        <v>46022</v>
      </c>
      <c r="B163" s="44" t="s">
        <v>428</v>
      </c>
      <c r="C163" s="44" t="s">
        <v>429</v>
      </c>
      <c r="D163" s="44" t="s">
        <v>430</v>
      </c>
      <c r="E163" s="44" t="s">
        <v>471</v>
      </c>
      <c r="F163" s="44" t="s">
        <v>564</v>
      </c>
      <c r="G163" s="45">
        <v>2483089113</v>
      </c>
      <c r="H163" s="45"/>
      <c r="I163" s="44">
        <v>0</v>
      </c>
      <c r="J163" s="45">
        <v>5438636</v>
      </c>
      <c r="K163" s="45">
        <v>2488527749</v>
      </c>
    </row>
    <row r="164" spans="1:11" x14ac:dyDescent="0.3">
      <c r="A164" s="51">
        <v>46022</v>
      </c>
      <c r="B164" s="44" t="s">
        <v>428</v>
      </c>
      <c r="C164" s="44" t="s">
        <v>429</v>
      </c>
      <c r="D164" s="44" t="s">
        <v>430</v>
      </c>
      <c r="E164" s="44" t="s">
        <v>471</v>
      </c>
      <c r="F164" s="44" t="s">
        <v>565</v>
      </c>
      <c r="G164" s="45">
        <v>2488527749</v>
      </c>
      <c r="H164" s="45"/>
      <c r="I164" s="44">
        <v>0</v>
      </c>
      <c r="J164" s="45">
        <v>5820240</v>
      </c>
      <c r="K164" s="45">
        <v>2494347989</v>
      </c>
    </row>
    <row r="165" spans="1:11" x14ac:dyDescent="0.3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</row>
    <row r="166" spans="1:11" x14ac:dyDescent="0.3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</row>
    <row r="167" spans="1:11" x14ac:dyDescent="0.3">
      <c r="A167" s="46" t="s">
        <v>566</v>
      </c>
      <c r="B167" s="47">
        <v>591701436</v>
      </c>
      <c r="C167" s="46"/>
      <c r="D167" s="46"/>
      <c r="E167" s="46"/>
      <c r="F167" s="46"/>
      <c r="G167" s="46"/>
      <c r="H167" s="46"/>
      <c r="I167" s="46"/>
      <c r="J167" s="46"/>
      <c r="K167" s="46"/>
    </row>
    <row r="168" spans="1:11" x14ac:dyDescent="0.3">
      <c r="A168" s="46" t="s">
        <v>567</v>
      </c>
      <c r="B168" s="47">
        <v>1629838887</v>
      </c>
      <c r="C168" s="46"/>
      <c r="D168" s="46"/>
      <c r="E168" s="46"/>
      <c r="F168" s="46"/>
      <c r="G168" s="46"/>
      <c r="H168" s="46"/>
      <c r="I168" s="46"/>
      <c r="J168" s="46"/>
      <c r="K168" s="46"/>
    </row>
    <row r="169" spans="1:11" x14ac:dyDescent="0.3">
      <c r="A169" s="46" t="s">
        <v>499</v>
      </c>
      <c r="B169" s="47">
        <v>49512328</v>
      </c>
      <c r="C169" s="46"/>
      <c r="D169" s="46"/>
      <c r="E169" s="46"/>
      <c r="F169" s="46"/>
      <c r="G169" s="46"/>
      <c r="H169" s="46"/>
      <c r="I169" s="46"/>
      <c r="J169" s="46"/>
      <c r="K169" s="46"/>
    </row>
    <row r="170" spans="1:11" x14ac:dyDescent="0.3">
      <c r="A170" s="46" t="s">
        <v>568</v>
      </c>
      <c r="B170" s="47">
        <v>85941181</v>
      </c>
      <c r="C170" s="46"/>
      <c r="D170" s="46"/>
      <c r="E170" s="46"/>
      <c r="F170" s="46"/>
      <c r="G170" s="46"/>
      <c r="H170" s="46"/>
      <c r="I170" s="46"/>
      <c r="J170" s="46"/>
      <c r="K170" s="46"/>
    </row>
    <row r="171" spans="1:11" x14ac:dyDescent="0.3">
      <c r="A171" s="46" t="s">
        <v>515</v>
      </c>
      <c r="B171" s="47">
        <v>87051146</v>
      </c>
      <c r="C171" s="46"/>
      <c r="D171" s="46"/>
      <c r="E171" s="46"/>
      <c r="F171" s="46"/>
      <c r="G171" s="46"/>
      <c r="H171" s="46"/>
      <c r="I171" s="46"/>
      <c r="J171" s="46"/>
      <c r="K171" s="46"/>
    </row>
    <row r="172" spans="1:11" x14ac:dyDescent="0.3">
      <c r="A172" s="46" t="s">
        <v>471</v>
      </c>
      <c r="B172" s="47">
        <v>47561178</v>
      </c>
      <c r="C172" s="46"/>
      <c r="D172" s="46"/>
      <c r="E172" s="46"/>
      <c r="F172" s="46"/>
      <c r="G172" s="46"/>
      <c r="H172" s="46"/>
      <c r="I172" s="46"/>
      <c r="J172" s="46"/>
      <c r="K172" s="46"/>
    </row>
    <row r="173" spans="1:11" x14ac:dyDescent="0.3">
      <c r="A173" s="46" t="s">
        <v>437</v>
      </c>
      <c r="B173" s="47">
        <v>2741833</v>
      </c>
      <c r="C173" s="46"/>
      <c r="D173" s="46"/>
      <c r="E173" s="46"/>
      <c r="F173" s="46"/>
      <c r="G173" s="46"/>
      <c r="H173" s="46"/>
      <c r="I173" s="46"/>
      <c r="J173" s="46"/>
      <c r="K173" s="46"/>
    </row>
    <row r="174" spans="1:11" x14ac:dyDescent="0.3">
      <c r="A174" s="46"/>
      <c r="B174" s="47">
        <f>SUBTOTAL(9,B167:B173)</f>
        <v>2494347989</v>
      </c>
      <c r="C174" s="46"/>
      <c r="D174" s="46"/>
      <c r="E174" s="46"/>
      <c r="F174" s="46"/>
      <c r="G174" s="46"/>
      <c r="H174" s="46"/>
      <c r="I174" s="46"/>
      <c r="J174" s="46"/>
      <c r="K174" s="46"/>
    </row>
    <row r="176" spans="1:11" x14ac:dyDescent="0.3">
      <c r="A176" s="53" t="s">
        <v>569</v>
      </c>
      <c r="B176" s="53"/>
      <c r="C176" s="53"/>
      <c r="D176" s="57" t="s">
        <v>570</v>
      </c>
      <c r="E176" s="53" t="s">
        <v>571</v>
      </c>
      <c r="G176" t="s">
        <v>572</v>
      </c>
      <c r="H176" t="s">
        <v>573</v>
      </c>
      <c r="I176" t="s">
        <v>570</v>
      </c>
    </row>
    <row r="177" spans="1:9" x14ac:dyDescent="0.3">
      <c r="A177" s="53" t="s">
        <v>499</v>
      </c>
      <c r="B177" s="54">
        <v>64000000</v>
      </c>
      <c r="C177" s="53" t="s">
        <v>574</v>
      </c>
      <c r="D177" s="54">
        <v>2000000000</v>
      </c>
      <c r="E177" s="55">
        <v>3.2000000000000001E-2</v>
      </c>
      <c r="F177" s="34"/>
    </row>
    <row r="178" spans="1:9" x14ac:dyDescent="0.3">
      <c r="A178" s="53" t="s">
        <v>575</v>
      </c>
      <c r="B178" s="56">
        <v>1296400000</v>
      </c>
      <c r="C178" s="53" t="s">
        <v>576</v>
      </c>
      <c r="D178" s="54">
        <v>46300000000</v>
      </c>
      <c r="E178" s="55">
        <v>2.8000000000000001E-2</v>
      </c>
      <c r="G178" s="58">
        <v>3.0499999999999999E-2</v>
      </c>
      <c r="H178" s="52">
        <v>411000000</v>
      </c>
      <c r="I178" t="s">
        <v>577</v>
      </c>
    </row>
    <row r="179" spans="1:9" x14ac:dyDescent="0.3">
      <c r="A179" s="53" t="s">
        <v>566</v>
      </c>
      <c r="B179" s="54">
        <v>504000000</v>
      </c>
      <c r="C179" s="53" t="s">
        <v>578</v>
      </c>
      <c r="D179" s="54">
        <v>16800000000</v>
      </c>
      <c r="E179" s="55">
        <v>0.03</v>
      </c>
      <c r="F179" s="53" t="s">
        <v>579</v>
      </c>
      <c r="G179" s="58">
        <v>4.2999999999999997E-2</v>
      </c>
      <c r="H179" s="52">
        <v>168000000</v>
      </c>
    </row>
    <row r="180" spans="1:9" x14ac:dyDescent="0.3">
      <c r="A180" s="53" t="s">
        <v>437</v>
      </c>
      <c r="B180" s="54">
        <v>6210000</v>
      </c>
      <c r="C180" s="53"/>
      <c r="D180" s="54">
        <v>135000000</v>
      </c>
      <c r="E180" s="55">
        <v>4.5999999999999999E-2</v>
      </c>
      <c r="F180" s="34"/>
    </row>
    <row r="181" spans="1:9" x14ac:dyDescent="0.3">
      <c r="A181" s="53" t="s">
        <v>568</v>
      </c>
      <c r="B181" s="54">
        <v>100000000</v>
      </c>
      <c r="C181" s="53" t="s">
        <v>580</v>
      </c>
      <c r="D181" s="54">
        <v>5000000000</v>
      </c>
      <c r="E181" s="55">
        <v>0.02</v>
      </c>
      <c r="F181" s="34"/>
    </row>
    <row r="182" spans="1:9" x14ac:dyDescent="0.3">
      <c r="A182" s="53" t="s">
        <v>581</v>
      </c>
      <c r="B182" s="56">
        <v>262500000</v>
      </c>
      <c r="C182" s="53" t="s">
        <v>582</v>
      </c>
      <c r="D182" s="54">
        <v>10000000000</v>
      </c>
      <c r="E182" s="55">
        <v>2.6249999999999999E-2</v>
      </c>
      <c r="F182" s="52"/>
    </row>
    <row r="183" spans="1:9" x14ac:dyDescent="0.3">
      <c r="A183" s="53" t="s">
        <v>583</v>
      </c>
      <c r="B183" s="54">
        <v>45000000</v>
      </c>
      <c r="C183" s="53"/>
      <c r="D183" s="53"/>
      <c r="E183" s="53"/>
    </row>
    <row r="184" spans="1:9" x14ac:dyDescent="0.3">
      <c r="B184" s="54">
        <f>SUM(B177:B183)</f>
        <v>2278110000</v>
      </c>
    </row>
  </sheetData>
  <autoFilter ref="A2:K164" xr:uid="{BB88880A-855C-40EB-A602-8B14C134E018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2857-4628-41A8-AB3B-56F43DCD290E}">
  <dimension ref="A1:I19"/>
  <sheetViews>
    <sheetView workbookViewId="0">
      <selection activeCell="D33" sqref="D33"/>
    </sheetView>
  </sheetViews>
  <sheetFormatPr defaultRowHeight="16.5" x14ac:dyDescent="0.3"/>
  <cols>
    <col min="1" max="1" width="16.25" customWidth="1"/>
    <col min="2" max="2" width="13.125" customWidth="1"/>
    <col min="4" max="4" width="17.625" customWidth="1"/>
    <col min="6" max="6" width="15.125" customWidth="1"/>
    <col min="7" max="7" width="13.125" customWidth="1"/>
    <col min="8" max="8" width="14" customWidth="1"/>
  </cols>
  <sheetData>
    <row r="1" spans="1:9" x14ac:dyDescent="0.3">
      <c r="A1" s="59" t="s">
        <v>584</v>
      </c>
      <c r="B1" s="60" t="s">
        <v>585</v>
      </c>
      <c r="C1" s="60" t="s">
        <v>586</v>
      </c>
      <c r="D1" s="60" t="s">
        <v>587</v>
      </c>
      <c r="E1" s="60" t="s">
        <v>588</v>
      </c>
      <c r="F1" s="60" t="s">
        <v>589</v>
      </c>
      <c r="G1" s="60" t="s">
        <v>573</v>
      </c>
      <c r="H1" s="60" t="s">
        <v>590</v>
      </c>
    </row>
    <row r="2" spans="1:9" x14ac:dyDescent="0.3">
      <c r="A2" s="61" t="s">
        <v>566</v>
      </c>
      <c r="B2" s="62">
        <v>591701436</v>
      </c>
      <c r="C2" s="63">
        <v>4.1599999999999998E-2</v>
      </c>
      <c r="D2" s="64">
        <v>511200000</v>
      </c>
      <c r="E2" s="63">
        <v>0.03</v>
      </c>
      <c r="F2" s="61" t="s">
        <v>591</v>
      </c>
      <c r="G2" s="64">
        <f t="shared" ref="G2:G8" si="0">D2-B2</f>
        <v>-80501436</v>
      </c>
      <c r="H2" s="61" t="s">
        <v>592</v>
      </c>
      <c r="I2" s="46"/>
    </row>
    <row r="3" spans="1:9" x14ac:dyDescent="0.3">
      <c r="A3" s="61" t="s">
        <v>567</v>
      </c>
      <c r="B3" s="62">
        <v>1629838887</v>
      </c>
      <c r="C3" s="63">
        <v>3.0499999999999999E-2</v>
      </c>
      <c r="D3" s="64">
        <v>1296400000</v>
      </c>
      <c r="E3" s="63">
        <v>2.8000000000000001E-2</v>
      </c>
      <c r="F3" s="61" t="s">
        <v>593</v>
      </c>
      <c r="G3" s="64">
        <f t="shared" si="0"/>
        <v>-333438887</v>
      </c>
      <c r="H3" s="61" t="s">
        <v>594</v>
      </c>
      <c r="I3" s="46"/>
    </row>
    <row r="4" spans="1:9" x14ac:dyDescent="0.3">
      <c r="A4" s="61" t="s">
        <v>568</v>
      </c>
      <c r="B4" s="62">
        <v>85941181</v>
      </c>
      <c r="C4" s="63">
        <v>0.02</v>
      </c>
      <c r="D4" s="64">
        <v>120000000</v>
      </c>
      <c r="E4" s="63">
        <v>0.02</v>
      </c>
      <c r="F4" s="61" t="s">
        <v>595</v>
      </c>
      <c r="G4" s="64">
        <f t="shared" si="0"/>
        <v>34058819</v>
      </c>
      <c r="H4" s="61" t="s">
        <v>596</v>
      </c>
      <c r="I4" s="46"/>
    </row>
    <row r="5" spans="1:9" x14ac:dyDescent="0.3">
      <c r="A5" s="61" t="s">
        <v>499</v>
      </c>
      <c r="B5" s="62">
        <v>49512328</v>
      </c>
      <c r="C5" s="63">
        <v>3.2000000000000001E-2</v>
      </c>
      <c r="D5" s="64">
        <v>64000000</v>
      </c>
      <c r="E5" s="63">
        <v>3.2000000000000001E-2</v>
      </c>
      <c r="F5" s="61"/>
      <c r="G5" s="64">
        <f t="shared" si="0"/>
        <v>14487672</v>
      </c>
      <c r="H5" s="61" t="s">
        <v>597</v>
      </c>
      <c r="I5" s="46"/>
    </row>
    <row r="6" spans="1:9" x14ac:dyDescent="0.3">
      <c r="A6" s="61" t="s">
        <v>515</v>
      </c>
      <c r="B6" s="62">
        <v>87051146</v>
      </c>
      <c r="C6" s="63">
        <v>2.63E-2</v>
      </c>
      <c r="D6" s="64">
        <v>262500000</v>
      </c>
      <c r="E6" s="63">
        <v>2.63E-2</v>
      </c>
      <c r="F6" s="61"/>
      <c r="G6" s="64">
        <f t="shared" si="0"/>
        <v>175448854</v>
      </c>
      <c r="H6" s="61" t="s">
        <v>598</v>
      </c>
      <c r="I6" s="46"/>
    </row>
    <row r="7" spans="1:9" x14ac:dyDescent="0.3">
      <c r="A7" s="61" t="s">
        <v>437</v>
      </c>
      <c r="B7" s="62">
        <v>2741833</v>
      </c>
      <c r="C7" s="61"/>
      <c r="D7" s="64">
        <v>6210000</v>
      </c>
      <c r="E7" s="63">
        <v>4.5999999999999999E-2</v>
      </c>
      <c r="F7" s="61"/>
      <c r="G7" s="64">
        <f t="shared" si="0"/>
        <v>3468167</v>
      </c>
      <c r="H7" s="61" t="s">
        <v>599</v>
      </c>
      <c r="I7" s="46"/>
    </row>
    <row r="8" spans="1:9" x14ac:dyDescent="0.3">
      <c r="A8" s="61" t="s">
        <v>600</v>
      </c>
      <c r="B8" s="62">
        <v>47561178</v>
      </c>
      <c r="C8" s="61"/>
      <c r="D8" s="64">
        <v>45000000</v>
      </c>
      <c r="E8" s="61"/>
      <c r="F8" s="61"/>
      <c r="G8" s="64">
        <f t="shared" si="0"/>
        <v>-2561178</v>
      </c>
      <c r="H8" s="61"/>
      <c r="I8" s="46"/>
    </row>
    <row r="9" spans="1:9" x14ac:dyDescent="0.3">
      <c r="A9" s="61"/>
      <c r="B9" s="62">
        <f>SUM(B2:B8)</f>
        <v>2494347989</v>
      </c>
      <c r="C9" s="61"/>
      <c r="D9" s="64">
        <f>SUM(D2:D8)</f>
        <v>2305310000</v>
      </c>
      <c r="E9" s="61"/>
      <c r="F9" s="61"/>
      <c r="G9" s="64">
        <f>SUM(G2:G8)</f>
        <v>-189037989</v>
      </c>
      <c r="H9" s="61"/>
      <c r="I9" s="46"/>
    </row>
    <row r="11" spans="1:9" x14ac:dyDescent="0.3">
      <c r="A11" s="53"/>
      <c r="B11" s="53"/>
      <c r="C11" s="53"/>
      <c r="D11" s="57"/>
      <c r="E11" s="53"/>
    </row>
    <row r="12" spans="1:9" x14ac:dyDescent="0.3">
      <c r="A12" s="53"/>
      <c r="B12" s="54"/>
      <c r="C12" s="53"/>
      <c r="D12" s="54"/>
      <c r="E12" s="55"/>
      <c r="F12" s="34"/>
    </row>
    <row r="13" spans="1:9" x14ac:dyDescent="0.3">
      <c r="A13" s="53"/>
      <c r="B13" s="56"/>
      <c r="C13" s="53"/>
      <c r="D13" s="54"/>
      <c r="E13" s="55"/>
      <c r="G13" s="58"/>
      <c r="H13" s="52"/>
    </row>
    <row r="14" spans="1:9" x14ac:dyDescent="0.3">
      <c r="A14" s="53"/>
      <c r="B14" s="54"/>
      <c r="C14" s="53"/>
      <c r="D14" s="54"/>
      <c r="E14" s="55"/>
      <c r="F14" s="53"/>
      <c r="G14" s="58"/>
      <c r="H14" s="52"/>
    </row>
    <row r="15" spans="1:9" x14ac:dyDescent="0.3">
      <c r="A15" s="53"/>
      <c r="B15" s="54"/>
      <c r="C15" s="53"/>
      <c r="D15" s="54"/>
      <c r="E15" s="55"/>
      <c r="F15" s="34"/>
    </row>
    <row r="16" spans="1:9" x14ac:dyDescent="0.3">
      <c r="A16" s="53"/>
      <c r="B16" s="54"/>
      <c r="C16" s="53"/>
      <c r="D16" s="54"/>
      <c r="E16" s="55"/>
      <c r="F16" s="34"/>
    </row>
    <row r="17" spans="1:6" x14ac:dyDescent="0.3">
      <c r="A17" s="53"/>
      <c r="B17" s="56"/>
      <c r="C17" s="53"/>
      <c r="D17" s="54"/>
      <c r="E17" s="55"/>
      <c r="F17" s="52"/>
    </row>
    <row r="18" spans="1:6" x14ac:dyDescent="0.3">
      <c r="A18" s="53"/>
      <c r="B18" s="54"/>
      <c r="C18" s="53"/>
      <c r="D18" s="53"/>
      <c r="E18" s="53"/>
    </row>
    <row r="19" spans="1:6" x14ac:dyDescent="0.3">
      <c r="B19" s="54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05BB9-0611-462A-9410-DDFD56F05E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외화보유비중 산출</vt:lpstr>
      <vt:lpstr>데이터</vt:lpstr>
      <vt:lpstr>매매기준율표(통화명_환율(원)_전일대비)</vt:lpstr>
      <vt:lpstr>재정된 매매기준율</vt:lpstr>
      <vt:lpstr>2025년 이자수익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Yeansoo Jeong</dc:creator>
  <cp:keywords/>
  <dc:description/>
  <cp:lastModifiedBy>Matthew Yeansoo Jeong</cp:lastModifiedBy>
  <cp:revision/>
  <dcterms:created xsi:type="dcterms:W3CDTF">2026-02-03T00:16:15Z</dcterms:created>
  <dcterms:modified xsi:type="dcterms:W3CDTF">2026-06-04T06:33:11Z</dcterms:modified>
  <cp:category/>
  <cp:contentStatus/>
</cp:coreProperties>
</file>